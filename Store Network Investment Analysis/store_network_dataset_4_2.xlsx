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BI_Data" sheetId="1" state="visible" r:id="rId3"/>
    <sheet name="Store Network Data" sheetId="2" state="visible" r:id="rId4"/>
    <sheet name="Documentation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<sst xmlns="http://schemas.openxmlformats.org/spreadsheetml/2006/main" count="387" uniqueCount="209">
  <si>
    <t xml:space="preserve">Store ID</t>
  </si>
  <si>
    <t xml:space="preserve">Store Name</t>
  </si>
  <si>
    <t xml:space="preserve">City</t>
  </si>
  <si>
    <t xml:space="preserve">Format</t>
  </si>
  <si>
    <t xml:space="preserve">Selling Area (m2)</t>
  </si>
  <si>
    <t xml:space="preserve">Year Opened</t>
  </si>
  <si>
    <t xml:space="preserve">Last Refurb Year</t>
  </si>
  <si>
    <t xml:space="preserve">Store Age (yrs)</t>
  </si>
  <si>
    <t xml:space="preserve">Yrs Since Refurb</t>
  </si>
  <si>
    <t xml:space="preserve">Sales per m2 (annual, GBP)</t>
  </si>
  <si>
    <t xml:space="preserve">Annual Sales (GBP)</t>
  </si>
  <si>
    <t xml:space="preserve">Prior Yr Sales (GBP)</t>
  </si>
  <si>
    <t xml:space="preserve">LFL Growth %</t>
  </si>
  <si>
    <t xml:space="preserve">Conversion %</t>
  </si>
  <si>
    <t xml:space="preserve">ATV (GBP)</t>
  </si>
  <si>
    <t xml:space="preserve">Annual Footfall</t>
  </si>
  <si>
    <t xml:space="preserve">Four-wall Contrib %</t>
  </si>
  <si>
    <t xml:space="preserve">Four-wall Contrib (GBP)</t>
  </si>
  <si>
    <t xml:space="preserve">Central Overhead Alloc (GBP)</t>
  </si>
  <si>
    <t xml:space="preserve">Store Net Contrib (post-overhead) (GBP)</t>
  </si>
  <si>
    <t xml:space="preserve">Fit-out CAPEX per m2 (GBP)</t>
  </si>
  <si>
    <t xml:space="preserve">Total CAPEX (GBP)</t>
  </si>
  <si>
    <t xml:space="preserve">Working Capital (GBP)</t>
  </si>
  <si>
    <t xml:space="preserve">Investment Base (GBP)</t>
  </si>
  <si>
    <t xml:space="preserve">Maintenance CAPEX (GBP/yr)</t>
  </si>
  <si>
    <t xml:space="preserve">Yr-1 After-tax Cash Flow (GBP)</t>
  </si>
  <si>
    <t xml:space="preserve">NPV (illustrative, GBP)</t>
  </si>
  <si>
    <t xml:space="preserve">ROIC after-tax (%)</t>
  </si>
  <si>
    <t xml:space="preserve">Value Verdict</t>
  </si>
  <si>
    <t xml:space="preserve">Recommendation</t>
  </si>
  <si>
    <t xml:space="preserve">S01</t>
  </si>
  <si>
    <t xml:space="preserve">Oxford Street</t>
  </si>
  <si>
    <t xml:space="preserve">London</t>
  </si>
  <si>
    <t xml:space="preserve">Flagship</t>
  </si>
  <si>
    <t xml:space="preserve">Value-creating</t>
  </si>
  <si>
    <t xml:space="preserve">Refurbish</t>
  </si>
  <si>
    <t xml:space="preserve">S02</t>
  </si>
  <si>
    <t xml:space="preserve">Westfield</t>
  </si>
  <si>
    <t xml:space="preserve">Marginal</t>
  </si>
  <si>
    <t xml:space="preserve">Keep (maturing)</t>
  </si>
  <si>
    <t xml:space="preserve">S03</t>
  </si>
  <si>
    <t xml:space="preserve">Bullring</t>
  </si>
  <si>
    <t xml:space="preserve">Birmingham</t>
  </si>
  <si>
    <t xml:space="preserve">Standard</t>
  </si>
  <si>
    <t xml:space="preserve">Keep</t>
  </si>
  <si>
    <t xml:space="preserve">S04</t>
  </si>
  <si>
    <t xml:space="preserve">Arndale</t>
  </si>
  <si>
    <t xml:space="preserve">Manchester</t>
  </si>
  <si>
    <t xml:space="preserve">Value-destroying</t>
  </si>
  <si>
    <t xml:space="preserve">Close / Relocate</t>
  </si>
  <si>
    <t xml:space="preserve">S05</t>
  </si>
  <si>
    <t xml:space="preserve">Trafford</t>
  </si>
  <si>
    <t xml:space="preserve">S06</t>
  </si>
  <si>
    <t xml:space="preserve">Piccadilly</t>
  </si>
  <si>
    <t xml:space="preserve">Compact</t>
  </si>
  <si>
    <t xml:space="preserve">S07</t>
  </si>
  <si>
    <t xml:space="preserve">Trinity</t>
  </si>
  <si>
    <t xml:space="preserve">Leeds</t>
  </si>
  <si>
    <t xml:space="preserve">S08</t>
  </si>
  <si>
    <t xml:space="preserve">Buchanan</t>
  </si>
  <si>
    <t xml:space="preserve">Glasgow</t>
  </si>
  <si>
    <t xml:space="preserve">S09</t>
  </si>
  <si>
    <t xml:space="preserve">Princes Street</t>
  </si>
  <si>
    <t xml:space="preserve">Edinburgh</t>
  </si>
  <si>
    <t xml:space="preserve">S10</t>
  </si>
  <si>
    <t xml:space="preserve">Cabot Circus</t>
  </si>
  <si>
    <t xml:space="preserve">Bristol</t>
  </si>
  <si>
    <t xml:space="preserve">Expand format</t>
  </si>
  <si>
    <t xml:space="preserve">S11</t>
  </si>
  <si>
    <t xml:space="preserve">Liverpool One</t>
  </si>
  <si>
    <t xml:space="preserve">Liverpool</t>
  </si>
  <si>
    <t xml:space="preserve">Turnaround / review</t>
  </si>
  <si>
    <t xml:space="preserve">S12</t>
  </si>
  <si>
    <t xml:space="preserve">Meadowhall</t>
  </si>
  <si>
    <t xml:space="preserve">Sheffield</t>
  </si>
  <si>
    <t xml:space="preserve">S13</t>
  </si>
  <si>
    <t xml:space="preserve">Eldon Square</t>
  </si>
  <si>
    <t xml:space="preserve">Newcastle</t>
  </si>
  <si>
    <t xml:space="preserve">S14</t>
  </si>
  <si>
    <t xml:space="preserve">Victoria Centre</t>
  </si>
  <si>
    <t xml:space="preserve">Nottingham</t>
  </si>
  <si>
    <t xml:space="preserve">S15</t>
  </si>
  <si>
    <t xml:space="preserve">St David's</t>
  </si>
  <si>
    <t xml:space="preserve">Cardiff</t>
  </si>
  <si>
    <t xml:space="preserve">S16</t>
  </si>
  <si>
    <t xml:space="preserve">The Oracle</t>
  </si>
  <si>
    <t xml:space="preserve">Reading</t>
  </si>
  <si>
    <t xml:space="preserve">S17</t>
  </si>
  <si>
    <t xml:space="preserve">WestQuay</t>
  </si>
  <si>
    <t xml:space="preserve">Southampton</t>
  </si>
  <si>
    <t xml:space="preserve">S18</t>
  </si>
  <si>
    <t xml:space="preserve">Union Square</t>
  </si>
  <si>
    <t xml:space="preserve">Aberdeen</t>
  </si>
  <si>
    <t xml:space="preserve">S19</t>
  </si>
  <si>
    <t xml:space="preserve">Chapelfield</t>
  </si>
  <si>
    <t xml:space="preserve">Norwich</t>
  </si>
  <si>
    <t xml:space="preserve">S20</t>
  </si>
  <si>
    <t xml:space="preserve">centre:mk</t>
  </si>
  <si>
    <t xml:space="preserve">Milton Keynes</t>
  </si>
  <si>
    <t xml:space="preserve">Store Network CAPEX &amp; Performance — Synthetic Dataset </t>
  </si>
  <si>
    <t xml:space="preserve">Reference Year:</t>
  </si>
  <si>
    <t xml:space="preserve">ESTATE</t>
  </si>
  <si>
    <t xml:space="preserve">Recommendation thresholds (edit to re-classify)</t>
  </si>
  <si>
    <t xml:space="preserve">Young store (yrs)</t>
  </si>
  <si>
    <t xml:space="preserve">Stale refurb (yrs)</t>
  </si>
  <si>
    <t xml:space="preserve">Weak LFL</t>
  </si>
  <si>
    <t xml:space="preserve">Strong ROIC for Expand</t>
  </si>
  <si>
    <t xml:space="preserve">Investment appraisal assumptions (edit to re-appraise)</t>
  </si>
  <si>
    <t xml:space="preserve">Central overhead (% of sales)</t>
  </si>
  <si>
    <t xml:space="preserve">Working capital (% of sales)</t>
  </si>
  <si>
    <t xml:space="preserve">Corporate tax rate</t>
  </si>
  <si>
    <t xml:space="preserve">Discount rate / hurdle (WACC)</t>
  </si>
  <si>
    <t xml:space="preserve">Cash-flow growth p.a. (real)</t>
  </si>
  <si>
    <t xml:space="preserve">Maintenance capex (% of sales)</t>
  </si>
  <si>
    <t xml:space="preserve">Appraisal horizon (yrs)</t>
  </si>
  <si>
    <t xml:space="preserve">Documentation, Benchmark Sources &amp; Methodology</t>
  </si>
  <si>
    <t xml:space="preserve">1. Nature of the data</t>
  </si>
  <si>
    <t xml:space="preserve">Illustrative SAMPLE dataset for store-network CAPEX &amp; investment analysis. Constructed figures (not from any real company), drom calibrated benchmark ranges (section 6). Blue cells are inputs; black are formulas. Currency is GBP. Two editable assumption blocks: flag thresholds and investment-appraisal.</t>
  </si>
  <si>
    <t xml:space="preserve">2. Column reference</t>
  </si>
  <si>
    <t xml:space="preserve">Input. Store identifier.</t>
  </si>
  <si>
    <t xml:space="preserve">Input. Store / location name.</t>
  </si>
  <si>
    <t xml:space="preserve">Input. City the store is in.</t>
  </si>
  <si>
    <t xml:space="preserve">Input. Store format: Flagship, Standard or Compact (used for "Expand format" recommendation).</t>
  </si>
  <si>
    <t xml:space="preserve">Input. Trading floor area</t>
  </si>
  <si>
    <t xml:space="preserve">Input. Year the store opened.</t>
  </si>
  <si>
    <t xml:space="preserve">Input. Year of the last major refurbishment.</t>
  </si>
  <si>
    <t xml:space="preserve">= Reference Year - Year Opened (feeds the 'Keep (maturing)' rule).</t>
  </si>
  <si>
    <t xml:space="preserve">= Reference Year - Last Refurb Year (feeds the 'Refurbish' rule)</t>
  </si>
  <si>
    <t xml:space="preserve">Sales per m2 (annual)</t>
  </si>
  <si>
    <t xml:space="preserve">Input. Sales density </t>
  </si>
  <si>
    <t xml:space="preserve">Annual Sales</t>
  </si>
  <si>
    <t xml:space="preserve">= Selling Area x Sales per m2</t>
  </si>
  <si>
    <t xml:space="preserve">Prior Yr Sales</t>
  </si>
  <si>
    <t xml:space="preserve">Input. Last year's sales</t>
  </si>
  <si>
    <t xml:space="preserve">= Annual Sales / Prior Yr Sales - 1. Like-for-like sales momentum.</t>
  </si>
  <si>
    <t xml:space="preserve">Input. Share of visitors who make a purchase.</t>
  </si>
  <si>
    <t xml:space="preserve">ATV (£)</t>
  </si>
  <si>
    <t xml:space="preserve">Input. Average transaction value </t>
  </si>
  <si>
    <t xml:space="preserve">= Annual Sales / ATV / Conversion %</t>
  </si>
  <si>
    <t xml:space="preserve">Input. Store-level profit margin before any central cost.</t>
  </si>
  <si>
    <t xml:space="preserve">Four-wall Contrib (£)</t>
  </si>
  <si>
    <t xml:space="preserve">= Annual Sales x Four-wall %. Profit generated inside the store's four walls (after store staff, rent, utilities. etc) before any central cost.</t>
  </si>
  <si>
    <t xml:space="preserve">Central Overhead Alloc (£)</t>
  </si>
  <si>
    <t xml:space="preserve">= Annual Sales x overhead assumption</t>
  </si>
  <si>
    <t xml:space="preserve">Store Net Contrib (post-overhead) (£)</t>
  </si>
  <si>
    <t xml:space="preserve">= Four-wall contribution - overhead allocation.</t>
  </si>
  <si>
    <t xml:space="preserve">Fit-out CAPEX per m2</t>
  </si>
  <si>
    <t xml:space="preserve">Input. Build / fit-out cost per m2.</t>
  </si>
  <si>
    <t xml:space="preserve">Total CAPEX (£)</t>
  </si>
  <si>
    <t xml:space="preserve">= Selling Area x Fit-out CAPEX per m2 8 (One-off build cost)</t>
  </si>
  <si>
    <t xml:space="preserve">Working Capital (£)</t>
  </si>
  <si>
    <t xml:space="preserve">= Annual Sales x working-capital assumption</t>
  </si>
  <si>
    <t xml:space="preserve">Investment Base (£)</t>
  </si>
  <si>
    <t xml:space="preserve">= Total CAPEX + Working Capital</t>
  </si>
  <si>
    <t xml:space="preserve">Maintenance CAPEX (£/yr)</t>
  </si>
  <si>
    <t xml:space="preserve">= Annual Sales x maintenance-capex %. Annual sustaining/refurbishment spend. See section 3.</t>
  </si>
  <si>
    <t xml:space="preserve">Yr-1 After-tax Cash Flow (£)</t>
  </si>
  <si>
    <t xml:space="preserve">= Store Net Contribution x (1 - tax) - Maintenance CAPEX. The recurring cash the store throws off; the basis for NPV and ROIC. See section 3.</t>
  </si>
  <si>
    <t xml:space="preserve">NPV (illustrative, £)</t>
  </si>
  <si>
    <t xml:space="preserve">Going-concern value = -Investment Base + Yr-1 after-tax cash flow / (WACC - growth). &gt; 0 means value created above the cost of capital. See section 3.</t>
  </si>
  <si>
    <t xml:space="preserve">= Yr-1 after-tax cash flow / Investment Base. The intuitive one-number return; compare to the WACC (8%). See section 3.</t>
  </si>
  <si>
    <t xml:space="preserve">Verdict</t>
  </si>
  <si>
    <t xml:space="preserve">NPV band: Value-creating (NPV &gt;= +5% of investment base), Value-destroying (&lt;= -5%), else Marginal. See section 3.</t>
  </si>
  <si>
    <t xml:space="preserve">Rule-based action: Keep, Keep (maturing), Refurbish, Expand format, Turnaround / review, Close / Relocate or Watch. See section 5</t>
  </si>
  <si>
    <t xml:space="preserve">3. How the model judges a store </t>
  </si>
  <si>
    <t xml:space="preserve">Maintenance CAPEX (£/yr) &amp; Yr-1 After-tax Cash Flow (£)</t>
  </si>
  <si>
    <t xml:space="preserve">Maintenance CAPEX = Sales x maintenance-capex %: annual sustaining/refurbishment spend that recurs EVERY year (unlike the one-off fit-out CAPEX). Yr-1 After-tax Cash Flow = Store Net Contribution x (1 - tax) - Maintenance CAPEX: the recurring cash the store actually throws off, and the basis for both NPV and ROIC.</t>
  </si>
  <si>
    <t xml:space="preserve">NPV = -Investment Base + Yr-1 after-tax cash flow discounted as a GROWING ANNUITY over a finite appraisal horizon (editable 'Appraisal horizon (yrs)' cell, default 15, ~ typical retail lease term), plus working capital released at the end of the horizon. No fit-out residual assumed (leased unit). Formula: -InvBase + Z*(1-((1+g)/(1+r))^N)/(r-g) + WC/(1+r)^N. This replaces the earlier infinite-life perpetuity, which over-valued leased stores and was hypersensitive to the long-run growth rate.</t>
  </si>
  <si>
    <t xml:space="preserve">Return on Invested Capital = Yr-1 after-tax cash flow / Investment Base. Inuitively compare to the WACC (8%). Above WACC = value-creating. Only use as a complement to NPV. (assumes Yr-1 after-tax cash flow as NOPAT)</t>
  </si>
  <si>
    <t xml:space="preserve">Verdict &amp; Recommendation</t>
  </si>
  <si>
    <t xml:space="preserve">Verdict (economic): Value-creating if NPV &gt;= +5% of investment base; Value-destroying if &lt;= -5%; else Marginal. Recommendation (action): a single rule-based call - see section 5.</t>
  </si>
  <si>
    <t xml:space="preserve">4. Assumptions (editable)</t>
  </si>
  <si>
    <t xml:space="preserve">Central overhead 5% of sales</t>
  </si>
  <si>
    <t xml:space="preserve">Assumed allocation of head-office/distribution/IT cost to each store.</t>
  </si>
  <si>
    <t xml:space="preserve">Working capital 8% of sales</t>
  </si>
  <si>
    <t xml:space="preserve">Assumed inventory funding tied up per store.</t>
  </si>
  <si>
    <t xml:space="preserve">Corporate tax 25%</t>
  </si>
  <si>
    <t xml:space="preserve">UK main corporation-tax rate applied to net contribution.</t>
  </si>
  <si>
    <t xml:space="preserve">Discount rate  8%</t>
  </si>
  <si>
    <t xml:space="preserve">Assumed retail cost of capital (WACC) </t>
  </si>
  <si>
    <t xml:space="preserve">Cash-flow growth 1.5% p.a. · Maintenance capex 2% of sales</t>
  </si>
  <si>
    <t xml:space="preserve">Growth: uniform annual growth in store cash flows 
Maintenance capex: annual sustaining/refurbishment spend as % of sales</t>
  </si>
  <si>
    <t xml:space="preserve">These are illustrative assumptions. </t>
  </si>
  <si>
    <t xml:space="preserve">5. Rule-based reccomedation </t>
  </si>
  <si>
    <t xml:space="preserve">Formula cascade (IFS) driven by the NPV Verdict, plus store age/condition. Order: 1) Keep (maturing): age &lt;= Young - protects newly-opened stores, even if NPV is (temporarily) negative. 2) Close / Relocate: Verdict = Value-destroying AND LFL &lt; Weak (loses value AND shrinking). 3) Turnaround / review: Verdict = Value-destroying (loses value but not yet declining). 4) Refurbish: years since refurb &gt; Stale refurb years. 5) Expand format: Compact AND Verdict = Value-creating AND ROIC &gt;= Strong (small winner, may replicate). 6) Keep: default. </t>
  </si>
  <si>
    <t xml:space="preserve">6. Benchmark ranges </t>
  </si>
  <si>
    <t xml:space="preserve">Sales per m2 £2,900–£8,500</t>
  </si>
  <si>
    <t xml:space="preserve">Specialty-retail density ~$300–$500/sq ft (~£2,500–£4,200/m2); US specialty apparel ~$400/sq ft. [S1a,S1b]</t>
  </si>
  <si>
    <t xml:space="preserve">Four-wall Contrib % 8–15%</t>
  </si>
  <si>
    <t xml:space="preserve">MODELLING ASSUMPTION - 8–15% range.</t>
  </si>
  <si>
    <t xml:space="preserve">Fit-out CAPEX £1,200–£2,200/m2</t>
  </si>
  <si>
    <t xml:space="preserve">TOTAL store CAPEX, above bare shopfitting (basic £300–£500, premium £700–£1,000/m2+, high-spec ~£1,500). Full branded fit-out reaches £1,500–£2,500/m2. [S2a,S2b,S2c]</t>
  </si>
  <si>
    <t xml:space="preserve">Conversion 17–28%; ATV £44–£82</t>
  </si>
  <si>
    <t xml:space="preserve">Conversion ~20–40%, sub-15% poor. [S3a,S3b]</t>
  </si>
  <si>
    <t xml:space="preserve">7. Sources</t>
  </si>
  <si>
    <t xml:space="preserve">[S1a] Wikipedia — Sales per unit area</t>
  </si>
  <si>
    <t xml:space="preserve">https://en.wikipedia.org/wiki/Sales_per_unit_area</t>
  </si>
  <si>
    <t xml:space="preserve">[S1b] Retail sales per sq ft (appraiser)</t>
  </si>
  <si>
    <t xml:space="preserve">https://www.linkedin.com/pulse/retail-sales-per-square-foot-jim-amorin-cae-mai-sra-ai-grs-cdei</t>
  </si>
  <si>
    <t xml:space="preserve">[S2a] Fit-out costs per m2 UK</t>
  </si>
  <si>
    <t xml:space="preserve">https://bhumicalculator.com/countries/united-kingdom/fit-out-costs-per-square-metre</t>
  </si>
  <si>
    <t xml:space="preserve">[S2b] Shop fit-out cost guide 2026</t>
  </si>
  <si>
    <t xml:space="preserve">https://www.newlookuk.co.uk/how-much-does-a-shop-fit-out-cost</t>
  </si>
  <si>
    <t xml:space="preserve">[S2c] Shop fitting cost per sq ft</t>
  </si>
  <si>
    <t xml:space="preserve">https://www.checkatrade.com/blog/cost-guides/shop-renovation-cost/</t>
  </si>
  <si>
    <t xml:space="preserve">[S3a] Retail conversion (Finturf)</t>
  </si>
  <si>
    <t xml:space="preserve">https://finturf.com/blog/conversion-rate-in-retail/</t>
  </si>
  <si>
    <t xml:space="preserve">[S3b] Retail conversion (GetDor)</t>
  </si>
  <si>
    <t xml:space="preserve">https://www.getdor.com/blog/2019/12/17/how-to-calculate-and-increase-retail-conversion-rate/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</si>
</sst>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"/>
    <numFmt numFmtId="168" formatCode="\£#,##0"/>
    <numFmt numFmtId="169" formatCode="\£#,##0;[RED]&quot;(£&quot;#,##0\)"/>
    <numFmt numFmtId="170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3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7F6000"/>
      </font>
      <fill>
        <patternFill>
          <bgColor rgb="FFFCE5CD"/>
        </patternFill>
      </fill>
    </dxf>
    <dxf>
      <font>
        <color rgb="FF1F3864"/>
      </font>
      <fill>
        <patternFill>
          <bgColor rgb="FFCFE2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Sales_per_unit_area" TargetMode="External"/><Relationship Id="rId2" Type="http://schemas.openxmlformats.org/officeDocument/2006/relationships/hyperlink" Target="https://www.linkedin.com/pulse/retail-sales-per-square-foot-jim-amorin-cae-mai-sra-ai-grs-cdei" TargetMode="External"/><Relationship Id="rId3" Type="http://schemas.openxmlformats.org/officeDocument/2006/relationships/hyperlink" Target="https://bhumicalculator.com/countries/united-kingdom/fit-out-costs-per-square-metre" TargetMode="External"/><Relationship Id="rId4" Type="http://schemas.openxmlformats.org/officeDocument/2006/relationships/hyperlink" Target="https://www.newlookuk.co.uk/how-much-does-a-shop-fit-out-cost" TargetMode="External"/><Relationship Id="rId5" Type="http://schemas.openxmlformats.org/officeDocument/2006/relationships/hyperlink" Target="https://www.checkatrade.com/blog/cost-guides/shop-renovation-cost/" TargetMode="External"/><Relationship Id="rId6" Type="http://schemas.openxmlformats.org/officeDocument/2006/relationships/hyperlink" Target="https://finturf.com/blog/conversion-rate-in-retail/" TargetMode="External"/><Relationship Id="rId7" Type="http://schemas.openxmlformats.org/officeDocument/2006/relationships/hyperlink" Target="https://www.getdor.com/blog/2019/12/17/how-to-calculate-and-increase-retail-conversion-rat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9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2" min="10" style="0" width="20"/>
    <col collapsed="false" customWidth="true" hidden="false" outlineLevel="0" max="14" min="13" style="0" width="14"/>
    <col collapsed="false" customWidth="true" hidden="false" outlineLevel="0" max="15" min="15" style="0" width="11"/>
    <col collapsed="false" customWidth="true" hidden="false" outlineLevel="0" max="16" min="16" style="0" width="17"/>
    <col collapsed="false" customWidth="true" hidden="false" outlineLevel="0" max="21" min="17" style="0" width="20"/>
    <col collapsed="false" customWidth="true" hidden="false" outlineLevel="0" max="22" min="22" style="0" width="19"/>
    <col collapsed="false" customWidth="true" hidden="false" outlineLevel="0" max="28" min="23" style="0" width="20"/>
    <col collapsed="false" customWidth="true" hidden="false" outlineLevel="0" max="29" min="29" style="0" width="15"/>
    <col collapsed="false" customWidth="true" hidden="false" outlineLevel="0" max="30" min="30" style="0" width="16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0" t="s">
        <v>30</v>
      </c>
      <c r="B2" s="0" t="s">
        <v>31</v>
      </c>
      <c r="C2" s="0" t="s">
        <v>32</v>
      </c>
      <c r="D2" s="0" t="s">
        <v>33</v>
      </c>
      <c r="E2" s="0" t="n">
        <v>1200</v>
      </c>
      <c r="F2" s="0" t="n">
        <v>2007</v>
      </c>
      <c r="G2" s="0" t="n">
        <v>2010</v>
      </c>
      <c r="H2" s="0" t="n">
        <v>19</v>
      </c>
      <c r="I2" s="0" t="n">
        <v>16</v>
      </c>
      <c r="J2" s="2" t="n">
        <v>7800</v>
      </c>
      <c r="K2" s="2" t="n">
        <v>9360000</v>
      </c>
      <c r="L2" s="2" t="n">
        <v>9000000</v>
      </c>
      <c r="M2" s="3" t="n">
        <v>0.04</v>
      </c>
      <c r="N2" s="3" t="n">
        <v>0.22</v>
      </c>
      <c r="O2" s="2" t="n">
        <v>78</v>
      </c>
      <c r="P2" s="0" t="n">
        <v>545454.545454545</v>
      </c>
      <c r="Q2" s="3" t="n">
        <v>0.15</v>
      </c>
      <c r="R2" s="2" t="n">
        <v>1404000</v>
      </c>
      <c r="S2" s="2" t="n">
        <v>468000</v>
      </c>
      <c r="T2" s="2" t="n">
        <v>936000</v>
      </c>
      <c r="U2" s="2" t="n">
        <v>2100</v>
      </c>
      <c r="V2" s="2" t="n">
        <v>2520000</v>
      </c>
      <c r="W2" s="2" t="n">
        <v>748800</v>
      </c>
      <c r="X2" s="2" t="n">
        <v>3268800</v>
      </c>
      <c r="Y2" s="2" t="n">
        <v>187200</v>
      </c>
      <c r="Z2" s="2" t="n">
        <v>514800</v>
      </c>
      <c r="AA2" s="2" t="n">
        <v>1765780.70538086</v>
      </c>
      <c r="AB2" s="3" t="n">
        <v>0.157488986784141</v>
      </c>
      <c r="AC2" s="0" t="s">
        <v>34</v>
      </c>
      <c r="AD2" s="0" t="s">
        <v>35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s">
        <v>32</v>
      </c>
      <c r="D3" s="0" t="s">
        <v>33</v>
      </c>
      <c r="E3" s="0" t="n">
        <v>1050</v>
      </c>
      <c r="F3" s="0" t="n">
        <v>2023</v>
      </c>
      <c r="G3" s="0" t="n">
        <v>2023</v>
      </c>
      <c r="H3" s="0" t="n">
        <v>3</v>
      </c>
      <c r="I3" s="0" t="n">
        <v>3</v>
      </c>
      <c r="J3" s="2" t="n">
        <v>7200</v>
      </c>
      <c r="K3" s="2" t="n">
        <v>7560000</v>
      </c>
      <c r="L3" s="2" t="n">
        <v>7150000</v>
      </c>
      <c r="M3" s="3" t="n">
        <v>0.0573426573426574</v>
      </c>
      <c r="N3" s="3" t="n">
        <v>0.2</v>
      </c>
      <c r="O3" s="2" t="n">
        <v>82</v>
      </c>
      <c r="P3" s="0" t="n">
        <v>460975.609756098</v>
      </c>
      <c r="Q3" s="3" t="n">
        <v>0.13</v>
      </c>
      <c r="R3" s="2" t="n">
        <v>982800</v>
      </c>
      <c r="S3" s="2" t="n">
        <v>378000</v>
      </c>
      <c r="T3" s="2" t="n">
        <v>604800</v>
      </c>
      <c r="U3" s="2" t="n">
        <v>2200</v>
      </c>
      <c r="V3" s="2" t="n">
        <v>2310000</v>
      </c>
      <c r="W3" s="2" t="n">
        <v>604800</v>
      </c>
      <c r="X3" s="2" t="n">
        <v>2914800</v>
      </c>
      <c r="Y3" s="2" t="n">
        <v>151200</v>
      </c>
      <c r="Z3" s="2" t="n">
        <v>302400</v>
      </c>
      <c r="AA3" s="2" t="n">
        <v>94573.7650025447</v>
      </c>
      <c r="AB3" s="3" t="n">
        <v>0.103746397694525</v>
      </c>
      <c r="AC3" s="0" t="s">
        <v>38</v>
      </c>
      <c r="AD3" s="0" t="s">
        <v>39</v>
      </c>
    </row>
    <row r="4" customFormat="false" ht="15" hidden="false" customHeight="false" outlineLevel="0" collapsed="false">
      <c r="A4" s="0" t="s">
        <v>40</v>
      </c>
      <c r="B4" s="0" t="s">
        <v>41</v>
      </c>
      <c r="C4" s="0" t="s">
        <v>42</v>
      </c>
      <c r="D4" s="0" t="s">
        <v>43</v>
      </c>
      <c r="E4" s="0" t="n">
        <v>620</v>
      </c>
      <c r="F4" s="0" t="n">
        <v>2011</v>
      </c>
      <c r="G4" s="0" t="n">
        <v>2018</v>
      </c>
      <c r="H4" s="0" t="n">
        <v>15</v>
      </c>
      <c r="I4" s="0" t="n">
        <v>8</v>
      </c>
      <c r="J4" s="2" t="n">
        <v>5400</v>
      </c>
      <c r="K4" s="2" t="n">
        <v>3348000</v>
      </c>
      <c r="L4" s="2" t="n">
        <v>3280000</v>
      </c>
      <c r="M4" s="3" t="n">
        <v>0.0207317073170732</v>
      </c>
      <c r="N4" s="3" t="n">
        <v>0.24</v>
      </c>
      <c r="O4" s="2" t="n">
        <v>55</v>
      </c>
      <c r="P4" s="0" t="n">
        <v>253636.363636364</v>
      </c>
      <c r="Q4" s="3" t="n">
        <v>0.13</v>
      </c>
      <c r="R4" s="2" t="n">
        <v>435240</v>
      </c>
      <c r="S4" s="2" t="n">
        <v>167400</v>
      </c>
      <c r="T4" s="2" t="n">
        <v>267840</v>
      </c>
      <c r="U4" s="2" t="n">
        <v>1550</v>
      </c>
      <c r="V4" s="2" t="n">
        <v>961000</v>
      </c>
      <c r="W4" s="2" t="n">
        <v>267840</v>
      </c>
      <c r="X4" s="2" t="n">
        <v>1228840</v>
      </c>
      <c r="Y4" s="2" t="n">
        <v>66960</v>
      </c>
      <c r="Z4" s="2" t="n">
        <v>133920</v>
      </c>
      <c r="AA4" s="2" t="n">
        <v>103882.66735827</v>
      </c>
      <c r="AB4" s="3" t="n">
        <v>0.108980827447023</v>
      </c>
      <c r="AC4" s="0" t="s">
        <v>34</v>
      </c>
      <c r="AD4" s="0" t="s">
        <v>44</v>
      </c>
    </row>
    <row r="5" customFormat="false" ht="15" hidden="false" customHeight="false" outlineLevel="0" collapsed="false">
      <c r="A5" s="0" t="s">
        <v>45</v>
      </c>
      <c r="B5" s="0" t="s">
        <v>46</v>
      </c>
      <c r="C5" s="0" t="s">
        <v>47</v>
      </c>
      <c r="D5" s="0" t="s">
        <v>43</v>
      </c>
      <c r="E5" s="0" t="n">
        <v>640</v>
      </c>
      <c r="F5" s="0" t="n">
        <v>2009</v>
      </c>
      <c r="G5" s="0" t="n">
        <v>2016</v>
      </c>
      <c r="H5" s="0" t="n">
        <v>17</v>
      </c>
      <c r="I5" s="0" t="n">
        <v>10</v>
      </c>
      <c r="J5" s="2" t="n">
        <v>4300</v>
      </c>
      <c r="K5" s="2" t="n">
        <v>2752000</v>
      </c>
      <c r="L5" s="2" t="n">
        <v>3050000</v>
      </c>
      <c r="M5" s="3" t="n">
        <v>-0.0977049180327869</v>
      </c>
      <c r="N5" s="3" t="n">
        <v>0.21</v>
      </c>
      <c r="O5" s="2" t="n">
        <v>52</v>
      </c>
      <c r="P5" s="0" t="n">
        <v>252014.652014652</v>
      </c>
      <c r="Q5" s="3" t="n">
        <v>0.11</v>
      </c>
      <c r="R5" s="2" t="n">
        <v>302720</v>
      </c>
      <c r="S5" s="2" t="n">
        <v>137600</v>
      </c>
      <c r="T5" s="2" t="n">
        <v>165120</v>
      </c>
      <c r="U5" s="2" t="n">
        <v>1450</v>
      </c>
      <c r="V5" s="2" t="n">
        <v>928000</v>
      </c>
      <c r="W5" s="2" t="n">
        <v>220160</v>
      </c>
      <c r="X5" s="2" t="n">
        <v>1148160</v>
      </c>
      <c r="Y5" s="2" t="n">
        <v>55040</v>
      </c>
      <c r="Z5" s="2" t="n">
        <v>68800</v>
      </c>
      <c r="AA5" s="2" t="n">
        <v>-437461.306768654</v>
      </c>
      <c r="AB5" s="3" t="n">
        <v>0.0599219620958751</v>
      </c>
      <c r="AC5" s="0" t="s">
        <v>48</v>
      </c>
      <c r="AD5" s="0" t="s">
        <v>49</v>
      </c>
    </row>
    <row r="6" customFormat="false" ht="15" hidden="false" customHeight="false" outlineLevel="0" collapsed="false">
      <c r="A6" s="0" t="s">
        <v>50</v>
      </c>
      <c r="B6" s="0" t="s">
        <v>51</v>
      </c>
      <c r="C6" s="0" t="s">
        <v>47</v>
      </c>
      <c r="D6" s="0" t="s">
        <v>43</v>
      </c>
      <c r="E6" s="0" t="n">
        <v>600</v>
      </c>
      <c r="F6" s="0" t="n">
        <v>2023</v>
      </c>
      <c r="G6" s="0" t="n">
        <v>2023</v>
      </c>
      <c r="H6" s="0" t="n">
        <v>3</v>
      </c>
      <c r="I6" s="0" t="n">
        <v>3</v>
      </c>
      <c r="J6" s="2" t="n">
        <v>5100</v>
      </c>
      <c r="K6" s="2" t="n">
        <v>3060000</v>
      </c>
      <c r="L6" s="2" t="n">
        <v>2750000</v>
      </c>
      <c r="M6" s="3" t="n">
        <v>0.112727272727273</v>
      </c>
      <c r="N6" s="3" t="n">
        <v>0.23</v>
      </c>
      <c r="O6" s="2" t="n">
        <v>54</v>
      </c>
      <c r="P6" s="0" t="n">
        <v>246376.811594203</v>
      </c>
      <c r="Q6" s="3" t="n">
        <v>0.13</v>
      </c>
      <c r="R6" s="2" t="n">
        <v>397800</v>
      </c>
      <c r="S6" s="2" t="n">
        <v>153000</v>
      </c>
      <c r="T6" s="2" t="n">
        <v>244800</v>
      </c>
      <c r="U6" s="2" t="n">
        <v>1600</v>
      </c>
      <c r="V6" s="2" t="n">
        <v>960000</v>
      </c>
      <c r="W6" s="2" t="n">
        <v>244800</v>
      </c>
      <c r="X6" s="2" t="n">
        <v>1204800</v>
      </c>
      <c r="Y6" s="2" t="n">
        <v>61200</v>
      </c>
      <c r="Z6" s="2" t="n">
        <v>122400</v>
      </c>
      <c r="AA6" s="2" t="n">
        <v>13279.8572629348</v>
      </c>
      <c r="AB6" s="3" t="n">
        <v>0.101593625498008</v>
      </c>
      <c r="AC6" s="0" t="s">
        <v>38</v>
      </c>
      <c r="AD6" s="0" t="s">
        <v>39</v>
      </c>
    </row>
    <row r="7" customFormat="false" ht="15" hidden="false" customHeight="false" outlineLevel="0" collapsed="false">
      <c r="A7" s="0" t="s">
        <v>52</v>
      </c>
      <c r="B7" s="0" t="s">
        <v>53</v>
      </c>
      <c r="C7" s="0" t="s">
        <v>47</v>
      </c>
      <c r="D7" s="0" t="s">
        <v>54</v>
      </c>
      <c r="E7" s="0" t="n">
        <v>260</v>
      </c>
      <c r="F7" s="0" t="n">
        <v>2024</v>
      </c>
      <c r="G7" s="0" t="n">
        <v>2024</v>
      </c>
      <c r="H7" s="0" t="n">
        <v>2</v>
      </c>
      <c r="I7" s="0" t="n">
        <v>2</v>
      </c>
      <c r="J7" s="2" t="n">
        <v>5600</v>
      </c>
      <c r="K7" s="2" t="n">
        <v>1456000</v>
      </c>
      <c r="L7" s="2" t="n">
        <v>1380000</v>
      </c>
      <c r="M7" s="3" t="n">
        <v>0.0550724637681159</v>
      </c>
      <c r="N7" s="3" t="n">
        <v>0.25</v>
      </c>
      <c r="O7" s="2" t="n">
        <v>48</v>
      </c>
      <c r="P7" s="0" t="n">
        <v>121333.333333333</v>
      </c>
      <c r="Q7" s="3" t="n">
        <v>0.12</v>
      </c>
      <c r="R7" s="2" t="n">
        <v>174720</v>
      </c>
      <c r="S7" s="2" t="n">
        <v>72800</v>
      </c>
      <c r="T7" s="2" t="n">
        <v>101920</v>
      </c>
      <c r="U7" s="2" t="n">
        <v>1250</v>
      </c>
      <c r="V7" s="2" t="n">
        <v>325000</v>
      </c>
      <c r="W7" s="2" t="n">
        <v>116480</v>
      </c>
      <c r="X7" s="2" t="n">
        <v>441480</v>
      </c>
      <c r="Y7" s="2" t="n">
        <v>29120</v>
      </c>
      <c r="Z7" s="2" t="n">
        <v>47320</v>
      </c>
      <c r="AA7" s="2" t="n">
        <v>36316.143915557</v>
      </c>
      <c r="AB7" s="3" t="n">
        <v>0.10718492343934</v>
      </c>
      <c r="AC7" s="0" t="s">
        <v>34</v>
      </c>
      <c r="AD7" s="0" t="s">
        <v>39</v>
      </c>
    </row>
    <row r="8" customFormat="false" ht="15" hidden="false" customHeight="false" outlineLevel="0" collapsed="false">
      <c r="A8" s="0" t="s">
        <v>55</v>
      </c>
      <c r="B8" s="0" t="s">
        <v>56</v>
      </c>
      <c r="C8" s="0" t="s">
        <v>57</v>
      </c>
      <c r="D8" s="0" t="s">
        <v>43</v>
      </c>
      <c r="E8" s="0" t="n">
        <v>580</v>
      </c>
      <c r="F8" s="0" t="n">
        <v>2013</v>
      </c>
      <c r="G8" s="0" t="n">
        <v>2019</v>
      </c>
      <c r="H8" s="0" t="n">
        <v>13</v>
      </c>
      <c r="I8" s="0" t="n">
        <v>7</v>
      </c>
      <c r="J8" s="2" t="n">
        <v>5600</v>
      </c>
      <c r="K8" s="2" t="n">
        <v>3248000</v>
      </c>
      <c r="L8" s="2" t="n">
        <v>3180000</v>
      </c>
      <c r="M8" s="3" t="n">
        <v>0.0213836477987421</v>
      </c>
      <c r="N8" s="3" t="n">
        <v>0.25</v>
      </c>
      <c r="O8" s="2" t="n">
        <v>53</v>
      </c>
      <c r="P8" s="0" t="n">
        <v>245132.075471698</v>
      </c>
      <c r="Q8" s="3" t="n">
        <v>0.14</v>
      </c>
      <c r="R8" s="2" t="n">
        <v>454720</v>
      </c>
      <c r="S8" s="2" t="n">
        <v>162400</v>
      </c>
      <c r="T8" s="2" t="n">
        <v>292320</v>
      </c>
      <c r="U8" s="2" t="n">
        <v>1500</v>
      </c>
      <c r="V8" s="2" t="n">
        <v>870000</v>
      </c>
      <c r="W8" s="2" t="n">
        <v>259840</v>
      </c>
      <c r="X8" s="2" t="n">
        <v>1129840</v>
      </c>
      <c r="Y8" s="2" t="n">
        <v>64960</v>
      </c>
      <c r="Z8" s="2" t="n">
        <v>154280</v>
      </c>
      <c r="AA8" s="2" t="n">
        <v>390139.335723324</v>
      </c>
      <c r="AB8" s="3" t="n">
        <v>0.136550308008214</v>
      </c>
      <c r="AC8" s="0" t="s">
        <v>34</v>
      </c>
      <c r="AD8" s="0" t="s">
        <v>44</v>
      </c>
    </row>
    <row r="9" customFormat="false" ht="15" hidden="false" customHeight="false" outlineLevel="0" collapsed="false">
      <c r="A9" s="0" t="s">
        <v>58</v>
      </c>
      <c r="B9" s="0" t="s">
        <v>59</v>
      </c>
      <c r="C9" s="0" t="s">
        <v>60</v>
      </c>
      <c r="D9" s="0" t="s">
        <v>43</v>
      </c>
      <c r="E9" s="0" t="n">
        <v>600</v>
      </c>
      <c r="F9" s="0" t="n">
        <v>2012</v>
      </c>
      <c r="G9" s="0" t="n">
        <v>2020</v>
      </c>
      <c r="H9" s="0" t="n">
        <v>14</v>
      </c>
      <c r="I9" s="0" t="n">
        <v>6</v>
      </c>
      <c r="J9" s="2" t="n">
        <v>5000</v>
      </c>
      <c r="K9" s="2" t="n">
        <v>3000000</v>
      </c>
      <c r="L9" s="2" t="n">
        <v>2940000</v>
      </c>
      <c r="M9" s="3" t="n">
        <v>0.0204081632653061</v>
      </c>
      <c r="N9" s="3" t="n">
        <v>0.23</v>
      </c>
      <c r="O9" s="2" t="n">
        <v>54</v>
      </c>
      <c r="P9" s="0" t="n">
        <v>241545.893719807</v>
      </c>
      <c r="Q9" s="3" t="n">
        <v>0.13</v>
      </c>
      <c r="R9" s="2" t="n">
        <v>390000</v>
      </c>
      <c r="S9" s="2" t="n">
        <v>150000</v>
      </c>
      <c r="T9" s="2" t="n">
        <v>240000</v>
      </c>
      <c r="U9" s="2" t="n">
        <v>1500</v>
      </c>
      <c r="V9" s="2" t="n">
        <v>900000</v>
      </c>
      <c r="W9" s="2" t="n">
        <v>240000</v>
      </c>
      <c r="X9" s="2" t="n">
        <v>1140000</v>
      </c>
      <c r="Y9" s="2" t="n">
        <v>60000</v>
      </c>
      <c r="Z9" s="2" t="n">
        <v>120000</v>
      </c>
      <c r="AA9" s="2" t="n">
        <v>54195.9384930734</v>
      </c>
      <c r="AB9" s="3" t="n">
        <v>0.105263157894737</v>
      </c>
      <c r="AC9" s="0" t="s">
        <v>38</v>
      </c>
      <c r="AD9" s="0" t="s">
        <v>44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0" t="s">
        <v>43</v>
      </c>
      <c r="E10" s="0" t="n">
        <v>560</v>
      </c>
      <c r="F10" s="0" t="n">
        <v>2010</v>
      </c>
      <c r="G10" s="0" t="n">
        <v>2017</v>
      </c>
      <c r="H10" s="0" t="n">
        <v>16</v>
      </c>
      <c r="I10" s="0" t="n">
        <v>9</v>
      </c>
      <c r="J10" s="2" t="n">
        <v>5300</v>
      </c>
      <c r="K10" s="2" t="n">
        <v>2968000</v>
      </c>
      <c r="L10" s="2" t="n">
        <v>2910000</v>
      </c>
      <c r="M10" s="3" t="n">
        <v>0.0199312714776632</v>
      </c>
      <c r="N10" s="3" t="n">
        <v>0.24</v>
      </c>
      <c r="O10" s="2" t="n">
        <v>56</v>
      </c>
      <c r="P10" s="0" t="n">
        <v>220833.333333333</v>
      </c>
      <c r="Q10" s="3" t="n">
        <v>0.14</v>
      </c>
      <c r="R10" s="2" t="n">
        <v>415520</v>
      </c>
      <c r="S10" s="2" t="n">
        <v>148400</v>
      </c>
      <c r="T10" s="2" t="n">
        <v>267120</v>
      </c>
      <c r="U10" s="2" t="n">
        <v>1550</v>
      </c>
      <c r="V10" s="2" t="n">
        <v>868000</v>
      </c>
      <c r="W10" s="2" t="n">
        <v>237440</v>
      </c>
      <c r="X10" s="2" t="n">
        <v>1105440</v>
      </c>
      <c r="Y10" s="2" t="n">
        <v>59360</v>
      </c>
      <c r="Z10" s="2" t="n">
        <v>140980</v>
      </c>
      <c r="AA10" s="2" t="n">
        <v>283506.634367865</v>
      </c>
      <c r="AB10" s="3" t="n">
        <v>0.127532928064843</v>
      </c>
      <c r="AC10" s="0" t="s">
        <v>34</v>
      </c>
      <c r="AD10" s="0" t="s">
        <v>44</v>
      </c>
    </row>
    <row r="11" customFormat="false" ht="15" hidden="false" customHeight="false" outlineLevel="0" collapsed="false">
      <c r="A11" s="0" t="s">
        <v>64</v>
      </c>
      <c r="B11" s="0" t="s">
        <v>65</v>
      </c>
      <c r="C11" s="0" t="s">
        <v>66</v>
      </c>
      <c r="D11" s="0" t="s">
        <v>54</v>
      </c>
      <c r="E11" s="0" t="n">
        <v>240</v>
      </c>
      <c r="F11" s="0" t="n">
        <v>2022</v>
      </c>
      <c r="G11" s="0" t="n">
        <v>2022</v>
      </c>
      <c r="H11" s="0" t="n">
        <v>4</v>
      </c>
      <c r="I11" s="0" t="n">
        <v>4</v>
      </c>
      <c r="J11" s="2" t="n">
        <v>8500</v>
      </c>
      <c r="K11" s="2" t="n">
        <v>2040000</v>
      </c>
      <c r="L11" s="2" t="n">
        <v>1880000</v>
      </c>
      <c r="M11" s="3" t="n">
        <v>0.0851063829787233</v>
      </c>
      <c r="N11" s="3" t="n">
        <v>0.28</v>
      </c>
      <c r="O11" s="2" t="n">
        <v>51</v>
      </c>
      <c r="P11" s="0" t="n">
        <v>142857.142857143</v>
      </c>
      <c r="Q11" s="3" t="n">
        <v>0.15</v>
      </c>
      <c r="R11" s="2" t="n">
        <v>306000</v>
      </c>
      <c r="S11" s="2" t="n">
        <v>102000</v>
      </c>
      <c r="T11" s="2" t="n">
        <v>204000</v>
      </c>
      <c r="U11" s="2" t="n">
        <v>1900</v>
      </c>
      <c r="V11" s="2" t="n">
        <v>456000</v>
      </c>
      <c r="W11" s="2" t="n">
        <v>163200</v>
      </c>
      <c r="X11" s="2" t="n">
        <v>619200</v>
      </c>
      <c r="Y11" s="2" t="n">
        <v>40800</v>
      </c>
      <c r="Z11" s="2" t="n">
        <v>112200</v>
      </c>
      <c r="AA11" s="2" t="n">
        <v>478080.410147111</v>
      </c>
      <c r="AB11" s="3" t="n">
        <v>0.181201550387597</v>
      </c>
      <c r="AC11" s="0" t="s">
        <v>34</v>
      </c>
      <c r="AD11" s="0" t="s">
        <v>67</v>
      </c>
    </row>
    <row r="12" customFormat="false" ht="15" hidden="false" customHeight="false" outlineLevel="0" collapsed="false">
      <c r="A12" s="0" t="s">
        <v>68</v>
      </c>
      <c r="B12" s="0" t="s">
        <v>69</v>
      </c>
      <c r="C12" s="0" t="s">
        <v>70</v>
      </c>
      <c r="D12" s="0" t="s">
        <v>43</v>
      </c>
      <c r="E12" s="0" t="n">
        <v>640</v>
      </c>
      <c r="F12" s="0" t="n">
        <v>2011</v>
      </c>
      <c r="G12" s="0" t="n">
        <v>2016</v>
      </c>
      <c r="H12" s="0" t="n">
        <v>15</v>
      </c>
      <c r="I12" s="0" t="n">
        <v>10</v>
      </c>
      <c r="J12" s="2" t="n">
        <v>4600</v>
      </c>
      <c r="K12" s="2" t="n">
        <v>2944000</v>
      </c>
      <c r="L12" s="2" t="n">
        <v>2900000</v>
      </c>
      <c r="M12" s="3" t="n">
        <v>0.0151724137931035</v>
      </c>
      <c r="N12" s="3" t="n">
        <v>0.21</v>
      </c>
      <c r="O12" s="2" t="n">
        <v>50</v>
      </c>
      <c r="P12" s="0" t="n">
        <v>280380.952380952</v>
      </c>
      <c r="Q12" s="3" t="n">
        <v>0.11</v>
      </c>
      <c r="R12" s="2" t="n">
        <v>323840</v>
      </c>
      <c r="S12" s="2" t="n">
        <v>147200</v>
      </c>
      <c r="T12" s="2" t="n">
        <v>176640</v>
      </c>
      <c r="U12" s="2" t="n">
        <v>1500</v>
      </c>
      <c r="V12" s="2" t="n">
        <v>960000</v>
      </c>
      <c r="W12" s="2" t="n">
        <v>235520</v>
      </c>
      <c r="X12" s="2" t="n">
        <v>1195520</v>
      </c>
      <c r="Y12" s="2" t="n">
        <v>58880</v>
      </c>
      <c r="Z12" s="2" t="n">
        <v>73600</v>
      </c>
      <c r="AA12" s="2" t="n">
        <v>-435237.677008328</v>
      </c>
      <c r="AB12" s="3" t="n">
        <v>0.0615631691648822</v>
      </c>
      <c r="AC12" s="0" t="s">
        <v>48</v>
      </c>
      <c r="AD12" s="0" t="s">
        <v>71</v>
      </c>
    </row>
    <row r="13" customFormat="false" ht="15" hidden="false" customHeight="false" outlineLevel="0" collapsed="false">
      <c r="A13" s="0" t="s">
        <v>72</v>
      </c>
      <c r="B13" s="0" t="s">
        <v>73</v>
      </c>
      <c r="C13" s="0" t="s">
        <v>74</v>
      </c>
      <c r="D13" s="0" t="s">
        <v>43</v>
      </c>
      <c r="E13" s="0" t="n">
        <v>660</v>
      </c>
      <c r="F13" s="0" t="n">
        <v>2010</v>
      </c>
      <c r="G13" s="0" t="n">
        <v>2015</v>
      </c>
      <c r="H13" s="0" t="n">
        <v>16</v>
      </c>
      <c r="I13" s="0" t="n">
        <v>11</v>
      </c>
      <c r="J13" s="2" t="n">
        <v>4400</v>
      </c>
      <c r="K13" s="2" t="n">
        <v>2904000</v>
      </c>
      <c r="L13" s="2" t="n">
        <v>2930000</v>
      </c>
      <c r="M13" s="3" t="n">
        <v>-0.00887372013651877</v>
      </c>
      <c r="N13" s="3" t="n">
        <v>0.2</v>
      </c>
      <c r="O13" s="2" t="n">
        <v>49</v>
      </c>
      <c r="P13" s="0" t="n">
        <v>296326.530612245</v>
      </c>
      <c r="Q13" s="3" t="n">
        <v>0.1</v>
      </c>
      <c r="R13" s="2" t="n">
        <v>290400</v>
      </c>
      <c r="S13" s="2" t="n">
        <v>145200</v>
      </c>
      <c r="T13" s="2" t="n">
        <v>145200</v>
      </c>
      <c r="U13" s="2" t="n">
        <v>1500</v>
      </c>
      <c r="V13" s="2" t="n">
        <v>990000</v>
      </c>
      <c r="W13" s="2" t="n">
        <v>232320</v>
      </c>
      <c r="X13" s="2" t="n">
        <v>1222320</v>
      </c>
      <c r="Y13" s="2" t="n">
        <v>58080</v>
      </c>
      <c r="Z13" s="2" t="n">
        <v>50820</v>
      </c>
      <c r="AA13" s="2" t="n">
        <v>-675382.234043241</v>
      </c>
      <c r="AB13" s="3" t="n">
        <v>0.0415766738660907</v>
      </c>
      <c r="AC13" s="0" t="s">
        <v>48</v>
      </c>
      <c r="AD13" s="0" t="s">
        <v>71</v>
      </c>
    </row>
    <row r="14" customFormat="false" ht="15" hidden="false" customHeight="false" outlineLevel="0" collapsed="false">
      <c r="A14" s="0" t="s">
        <v>75</v>
      </c>
      <c r="B14" s="0" t="s">
        <v>76</v>
      </c>
      <c r="C14" s="0" t="s">
        <v>77</v>
      </c>
      <c r="D14" s="0" t="s">
        <v>54</v>
      </c>
      <c r="E14" s="0" t="n">
        <v>250</v>
      </c>
      <c r="F14" s="0" t="n">
        <v>2014</v>
      </c>
      <c r="G14" s="0" t="n">
        <v>2019</v>
      </c>
      <c r="H14" s="0" t="n">
        <v>12</v>
      </c>
      <c r="I14" s="0" t="n">
        <v>7</v>
      </c>
      <c r="J14" s="2" t="n">
        <v>5200</v>
      </c>
      <c r="K14" s="2" t="n">
        <v>1300000</v>
      </c>
      <c r="L14" s="2" t="n">
        <v>1270000</v>
      </c>
      <c r="M14" s="3" t="n">
        <v>0.0236220472440944</v>
      </c>
      <c r="N14" s="3" t="n">
        <v>0.26</v>
      </c>
      <c r="O14" s="2" t="n">
        <v>47</v>
      </c>
      <c r="P14" s="0" t="n">
        <v>106382.978723404</v>
      </c>
      <c r="Q14" s="3" t="n">
        <v>0.13</v>
      </c>
      <c r="R14" s="2" t="n">
        <v>169000</v>
      </c>
      <c r="S14" s="2" t="n">
        <v>65000</v>
      </c>
      <c r="T14" s="2" t="n">
        <v>104000</v>
      </c>
      <c r="U14" s="2" t="n">
        <v>1200</v>
      </c>
      <c r="V14" s="2" t="n">
        <v>300000</v>
      </c>
      <c r="W14" s="2" t="n">
        <v>104000</v>
      </c>
      <c r="X14" s="2" t="n">
        <v>404000</v>
      </c>
      <c r="Y14" s="2" t="n">
        <v>26000</v>
      </c>
      <c r="Z14" s="2" t="n">
        <v>52000</v>
      </c>
      <c r="AA14" s="2" t="n">
        <v>113484.906680332</v>
      </c>
      <c r="AB14" s="3" t="n">
        <v>0.128712871287129</v>
      </c>
      <c r="AC14" s="0" t="s">
        <v>34</v>
      </c>
      <c r="AD14" s="0" t="s">
        <v>44</v>
      </c>
    </row>
    <row r="15" customFormat="false" ht="15" hidden="false" customHeight="false" outlineLevel="0" collapsed="false">
      <c r="A15" s="0" t="s">
        <v>78</v>
      </c>
      <c r="B15" s="0" t="s">
        <v>79</v>
      </c>
      <c r="C15" s="0" t="s">
        <v>80</v>
      </c>
      <c r="D15" s="0" t="s">
        <v>43</v>
      </c>
      <c r="E15" s="0" t="n">
        <v>590</v>
      </c>
      <c r="F15" s="0" t="n">
        <v>2024</v>
      </c>
      <c r="G15" s="0" t="n">
        <v>2024</v>
      </c>
      <c r="H15" s="0" t="n">
        <v>2</v>
      </c>
      <c r="I15" s="0" t="n">
        <v>2</v>
      </c>
      <c r="J15" s="2" t="n">
        <v>4700</v>
      </c>
      <c r="K15" s="2" t="n">
        <v>2773000</v>
      </c>
      <c r="L15" s="2" t="n">
        <v>2500000</v>
      </c>
      <c r="M15" s="3" t="n">
        <v>0.1092</v>
      </c>
      <c r="N15" s="3" t="n">
        <v>0.22</v>
      </c>
      <c r="O15" s="2" t="n">
        <v>51</v>
      </c>
      <c r="P15" s="0" t="n">
        <v>247147.950089127</v>
      </c>
      <c r="Q15" s="3" t="n">
        <v>0.11</v>
      </c>
      <c r="R15" s="2" t="n">
        <v>305030</v>
      </c>
      <c r="S15" s="2" t="n">
        <v>138650</v>
      </c>
      <c r="T15" s="2" t="n">
        <v>166380</v>
      </c>
      <c r="U15" s="2" t="n">
        <v>1550</v>
      </c>
      <c r="V15" s="2" t="n">
        <v>914500</v>
      </c>
      <c r="W15" s="2" t="n">
        <v>221840</v>
      </c>
      <c r="X15" s="2" t="n">
        <v>1136340</v>
      </c>
      <c r="Y15" s="2" t="n">
        <v>55460</v>
      </c>
      <c r="Z15" s="2" t="n">
        <v>69325</v>
      </c>
      <c r="AA15" s="2" t="n">
        <v>-420218.097263618</v>
      </c>
      <c r="AB15" s="3" t="n">
        <v>0.0610072689511942</v>
      </c>
      <c r="AC15" s="0" t="s">
        <v>48</v>
      </c>
      <c r="AD15" s="0" t="s">
        <v>39</v>
      </c>
    </row>
    <row r="16" customFormat="false" ht="15" hidden="false" customHeight="false" outlineLevel="0" collapsed="false">
      <c r="A16" s="0" t="s">
        <v>81</v>
      </c>
      <c r="B16" s="0" t="s">
        <v>82</v>
      </c>
      <c r="C16" s="0" t="s">
        <v>83</v>
      </c>
      <c r="D16" s="0" t="s">
        <v>43</v>
      </c>
      <c r="E16" s="0" t="n">
        <v>600</v>
      </c>
      <c r="F16" s="0" t="n">
        <v>2012</v>
      </c>
      <c r="G16" s="0" t="n">
        <v>2018</v>
      </c>
      <c r="H16" s="0" t="n">
        <v>14</v>
      </c>
      <c r="I16" s="0" t="n">
        <v>8</v>
      </c>
      <c r="J16" s="2" t="n">
        <v>4800</v>
      </c>
      <c r="K16" s="2" t="n">
        <v>2880000</v>
      </c>
      <c r="L16" s="2" t="n">
        <v>2850000</v>
      </c>
      <c r="M16" s="3" t="n">
        <v>0.0105263157894737</v>
      </c>
      <c r="N16" s="3" t="n">
        <v>0.22</v>
      </c>
      <c r="O16" s="2" t="n">
        <v>52</v>
      </c>
      <c r="P16" s="0" t="n">
        <v>251748.251748252</v>
      </c>
      <c r="Q16" s="3" t="n">
        <v>0.12</v>
      </c>
      <c r="R16" s="2" t="n">
        <v>345600</v>
      </c>
      <c r="S16" s="2" t="n">
        <v>144000</v>
      </c>
      <c r="T16" s="2" t="n">
        <v>201600</v>
      </c>
      <c r="U16" s="2" t="n">
        <v>1500</v>
      </c>
      <c r="V16" s="2" t="n">
        <v>900000</v>
      </c>
      <c r="W16" s="2" t="n">
        <v>230400</v>
      </c>
      <c r="X16" s="2" t="n">
        <v>1130400</v>
      </c>
      <c r="Y16" s="2" t="n">
        <v>57600</v>
      </c>
      <c r="Z16" s="2" t="n">
        <v>93600</v>
      </c>
      <c r="AA16" s="2" t="n">
        <v>-185308.726320876</v>
      </c>
      <c r="AB16" s="3" t="n">
        <v>0.0828025477707006</v>
      </c>
      <c r="AC16" s="0" t="s">
        <v>48</v>
      </c>
      <c r="AD16" s="0" t="s">
        <v>71</v>
      </c>
    </row>
    <row r="17" customFormat="false" ht="15" hidden="false" customHeight="false" outlineLevel="0" collapsed="false">
      <c r="A17" s="0" t="s">
        <v>84</v>
      </c>
      <c r="B17" s="0" t="s">
        <v>85</v>
      </c>
      <c r="C17" s="0" t="s">
        <v>86</v>
      </c>
      <c r="D17" s="0" t="s">
        <v>43</v>
      </c>
      <c r="E17" s="0" t="n">
        <v>1250</v>
      </c>
      <c r="F17" s="0" t="n">
        <v>2009</v>
      </c>
      <c r="G17" s="0" t="n">
        <v>2013</v>
      </c>
      <c r="H17" s="0" t="n">
        <v>17</v>
      </c>
      <c r="I17" s="0" t="n">
        <v>13</v>
      </c>
      <c r="J17" s="2" t="n">
        <v>2900</v>
      </c>
      <c r="K17" s="2" t="n">
        <v>3625000</v>
      </c>
      <c r="L17" s="2" t="n">
        <v>3750000</v>
      </c>
      <c r="M17" s="3" t="n">
        <v>-0.0333333333333333</v>
      </c>
      <c r="N17" s="3" t="n">
        <v>0.17</v>
      </c>
      <c r="O17" s="2" t="n">
        <v>46</v>
      </c>
      <c r="P17" s="0" t="n">
        <v>463554.987212276</v>
      </c>
      <c r="Q17" s="3" t="n">
        <v>0.08</v>
      </c>
      <c r="R17" s="2" t="n">
        <v>290000</v>
      </c>
      <c r="S17" s="2" t="n">
        <v>181250</v>
      </c>
      <c r="T17" s="2" t="n">
        <v>108750</v>
      </c>
      <c r="U17" s="2" t="n">
        <v>1750</v>
      </c>
      <c r="V17" s="2" t="n">
        <v>2187500</v>
      </c>
      <c r="W17" s="2" t="n">
        <v>290000</v>
      </c>
      <c r="X17" s="2" t="n">
        <v>2477500</v>
      </c>
      <c r="Y17" s="2" t="n">
        <v>72500</v>
      </c>
      <c r="Z17" s="2" t="n">
        <v>9062.5</v>
      </c>
      <c r="AA17" s="2" t="n">
        <v>-2301606.98902412</v>
      </c>
      <c r="AB17" s="3" t="n">
        <v>0.00365792129162462</v>
      </c>
      <c r="AC17" s="0" t="s">
        <v>48</v>
      </c>
      <c r="AD17" s="0" t="s">
        <v>49</v>
      </c>
    </row>
    <row r="18" customFormat="false" ht="15" hidden="false" customHeight="false" outlineLevel="0" collapsed="false">
      <c r="A18" s="0" t="s">
        <v>87</v>
      </c>
      <c r="B18" s="0" t="s">
        <v>88</v>
      </c>
      <c r="C18" s="0" t="s">
        <v>89</v>
      </c>
      <c r="D18" s="0" t="s">
        <v>54</v>
      </c>
      <c r="E18" s="0" t="n">
        <v>260</v>
      </c>
      <c r="F18" s="0" t="n">
        <v>2021</v>
      </c>
      <c r="G18" s="0" t="n">
        <v>2021</v>
      </c>
      <c r="H18" s="0" t="n">
        <v>5</v>
      </c>
      <c r="I18" s="0" t="n">
        <v>5</v>
      </c>
      <c r="J18" s="2" t="n">
        <v>5000</v>
      </c>
      <c r="K18" s="2" t="n">
        <v>1300000</v>
      </c>
      <c r="L18" s="2" t="n">
        <v>1260000</v>
      </c>
      <c r="M18" s="3" t="n">
        <v>0.0317460317460319</v>
      </c>
      <c r="N18" s="3" t="n">
        <v>0.24</v>
      </c>
      <c r="O18" s="2" t="n">
        <v>49</v>
      </c>
      <c r="P18" s="0" t="n">
        <v>110544.217687075</v>
      </c>
      <c r="Q18" s="3" t="n">
        <v>0.12</v>
      </c>
      <c r="R18" s="2" t="n">
        <v>156000</v>
      </c>
      <c r="S18" s="2" t="n">
        <v>65000</v>
      </c>
      <c r="T18" s="2" t="n">
        <v>91000</v>
      </c>
      <c r="U18" s="2" t="n">
        <v>1250</v>
      </c>
      <c r="V18" s="2" t="n">
        <v>325000</v>
      </c>
      <c r="W18" s="2" t="n">
        <v>104000</v>
      </c>
      <c r="X18" s="2" t="n">
        <v>429000</v>
      </c>
      <c r="Y18" s="2" t="n">
        <v>26000</v>
      </c>
      <c r="Z18" s="2" t="n">
        <v>42250</v>
      </c>
      <c r="AA18" s="2" t="n">
        <v>-2396.30007539558</v>
      </c>
      <c r="AB18" s="3" t="n">
        <v>0.0984848484848485</v>
      </c>
      <c r="AC18" s="0" t="s">
        <v>38</v>
      </c>
      <c r="AD18" s="0" t="s">
        <v>44</v>
      </c>
    </row>
    <row r="19" customFormat="false" ht="15" hidden="false" customHeight="false" outlineLevel="0" collapsed="false">
      <c r="A19" s="0" t="s">
        <v>90</v>
      </c>
      <c r="B19" s="0" t="s">
        <v>91</v>
      </c>
      <c r="C19" s="0" t="s">
        <v>92</v>
      </c>
      <c r="D19" s="0" t="s">
        <v>54</v>
      </c>
      <c r="E19" s="0" t="n">
        <v>270</v>
      </c>
      <c r="F19" s="0" t="n">
        <v>2013</v>
      </c>
      <c r="G19" s="0" t="n">
        <v>2018</v>
      </c>
      <c r="H19" s="0" t="n">
        <v>13</v>
      </c>
      <c r="I19" s="0" t="n">
        <v>8</v>
      </c>
      <c r="J19" s="2" t="n">
        <v>3400</v>
      </c>
      <c r="K19" s="2" t="n">
        <v>918000</v>
      </c>
      <c r="L19" s="2" t="n">
        <v>950000</v>
      </c>
      <c r="M19" s="3" t="n">
        <v>-0.0336842105263158</v>
      </c>
      <c r="N19" s="3" t="n">
        <v>0.18</v>
      </c>
      <c r="O19" s="2" t="n">
        <v>44</v>
      </c>
      <c r="P19" s="0" t="n">
        <v>115909.090909091</v>
      </c>
      <c r="Q19" s="3" t="n">
        <v>0.09</v>
      </c>
      <c r="R19" s="2" t="n">
        <v>82620</v>
      </c>
      <c r="S19" s="2" t="n">
        <v>45900</v>
      </c>
      <c r="T19" s="2" t="n">
        <v>36720</v>
      </c>
      <c r="U19" s="2" t="n">
        <v>1200</v>
      </c>
      <c r="V19" s="2" t="n">
        <v>324000</v>
      </c>
      <c r="W19" s="2" t="n">
        <v>73440</v>
      </c>
      <c r="X19" s="2" t="n">
        <v>397440</v>
      </c>
      <c r="Y19" s="2" t="n">
        <v>18360</v>
      </c>
      <c r="Z19" s="2" t="n">
        <v>9180</v>
      </c>
      <c r="AA19" s="2" t="n">
        <v>-288720.497595759</v>
      </c>
      <c r="AB19" s="3" t="n">
        <v>0.0230978260869565</v>
      </c>
      <c r="AC19" s="0" t="s">
        <v>48</v>
      </c>
      <c r="AD19" s="0" t="s">
        <v>49</v>
      </c>
    </row>
    <row r="20" customFormat="false" ht="15" hidden="false" customHeight="false" outlineLevel="0" collapsed="false">
      <c r="A20" s="0" t="s">
        <v>93</v>
      </c>
      <c r="B20" s="0" t="s">
        <v>94</v>
      </c>
      <c r="C20" s="0" t="s">
        <v>95</v>
      </c>
      <c r="D20" s="0" t="s">
        <v>54</v>
      </c>
      <c r="E20" s="0" t="n">
        <v>250</v>
      </c>
      <c r="F20" s="0" t="n">
        <v>2015</v>
      </c>
      <c r="G20" s="0" t="n">
        <v>2021</v>
      </c>
      <c r="H20" s="0" t="n">
        <v>11</v>
      </c>
      <c r="I20" s="0" t="n">
        <v>5</v>
      </c>
      <c r="J20" s="2" t="n">
        <v>4800</v>
      </c>
      <c r="K20" s="2" t="n">
        <v>1200000</v>
      </c>
      <c r="L20" s="2" t="n">
        <v>1180000</v>
      </c>
      <c r="M20" s="3" t="n">
        <v>0.0169491525423728</v>
      </c>
      <c r="N20" s="3" t="n">
        <v>0.24</v>
      </c>
      <c r="O20" s="2" t="n">
        <v>48</v>
      </c>
      <c r="P20" s="0" t="n">
        <v>104166.666666667</v>
      </c>
      <c r="Q20" s="3" t="n">
        <v>0.12</v>
      </c>
      <c r="R20" s="2" t="n">
        <v>144000</v>
      </c>
      <c r="S20" s="2" t="n">
        <v>60000</v>
      </c>
      <c r="T20" s="2" t="n">
        <v>84000</v>
      </c>
      <c r="U20" s="2" t="n">
        <v>1250</v>
      </c>
      <c r="V20" s="2" t="n">
        <v>312500</v>
      </c>
      <c r="W20" s="2" t="n">
        <v>96000</v>
      </c>
      <c r="X20" s="2" t="n">
        <v>408500</v>
      </c>
      <c r="Y20" s="2" t="n">
        <v>24000</v>
      </c>
      <c r="Z20" s="2" t="n">
        <v>39000</v>
      </c>
      <c r="AA20" s="2" t="n">
        <v>-14711.9693003651</v>
      </c>
      <c r="AB20" s="3" t="n">
        <v>0.0954712362301102</v>
      </c>
      <c r="AC20" s="0" t="s">
        <v>38</v>
      </c>
      <c r="AD20" s="0" t="s">
        <v>44</v>
      </c>
    </row>
    <row r="21" customFormat="false" ht="15" hidden="false" customHeight="false" outlineLevel="0" collapsed="false">
      <c r="A21" s="0" t="s">
        <v>96</v>
      </c>
      <c r="B21" s="0" t="s">
        <v>97</v>
      </c>
      <c r="C21" s="0" t="s">
        <v>98</v>
      </c>
      <c r="D21" s="0" t="s">
        <v>43</v>
      </c>
      <c r="E21" s="0" t="n">
        <v>610</v>
      </c>
      <c r="F21" s="0" t="n">
        <v>2023</v>
      </c>
      <c r="G21" s="0" t="n">
        <v>2023</v>
      </c>
      <c r="H21" s="0" t="n">
        <v>3</v>
      </c>
      <c r="I21" s="0" t="n">
        <v>3</v>
      </c>
      <c r="J21" s="2" t="n">
        <v>4500</v>
      </c>
      <c r="K21" s="2" t="n">
        <v>2745000</v>
      </c>
      <c r="L21" s="2" t="n">
        <v>2480000</v>
      </c>
      <c r="M21" s="3" t="n">
        <v>0.106854838709677</v>
      </c>
      <c r="N21" s="3" t="n">
        <v>0.21</v>
      </c>
      <c r="O21" s="2" t="n">
        <v>50</v>
      </c>
      <c r="P21" s="0" t="n">
        <v>261428.571428571</v>
      </c>
      <c r="Q21" s="3" t="n">
        <v>0.11</v>
      </c>
      <c r="R21" s="2" t="n">
        <v>301950</v>
      </c>
      <c r="S21" s="2" t="n">
        <v>137250</v>
      </c>
      <c r="T21" s="2" t="n">
        <v>164700</v>
      </c>
      <c r="U21" s="2" t="n">
        <v>1550</v>
      </c>
      <c r="V21" s="2" t="n">
        <v>945500</v>
      </c>
      <c r="W21" s="2" t="n">
        <v>219600</v>
      </c>
      <c r="X21" s="2" t="n">
        <v>1165100</v>
      </c>
      <c r="Y21" s="2" t="n">
        <v>54900</v>
      </c>
      <c r="Z21" s="2" t="n">
        <v>68625</v>
      </c>
      <c r="AA21" s="2" t="n">
        <v>-456209.043270333</v>
      </c>
      <c r="AB21" s="3" t="n">
        <v>0.0589005235602094</v>
      </c>
      <c r="AC21" s="0" t="s">
        <v>48</v>
      </c>
      <c r="AD21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3"/>
  <sheetViews>
    <sheetView showFormulas="false" showGridLines="true" showRowColHeaders="true" showZeros="true" rightToLeft="false" tabSelected="true" showOutlineSymbols="true" defaultGridColor="true" view="normal" topLeftCell="A2" colorId="64" zoomScale="98" zoomScaleNormal="98" zoomScalePageLayoutView="100" workbookViewId="0">
      <selection pane="topLeft" activeCell="AC5" activeCellId="0" sqref="AC5"/>
    </sheetView>
  </sheetViews>
  <sheetFormatPr defaultColWidth="8.6328125" defaultRowHeight="14.25" zeroHeight="false" outlineLevelRow="0" outlineLevelCol="0"/>
  <cols>
    <col collapsed="false" customWidth="true" hidden="false" outlineLevel="0" max="1" min="1" style="4" width="29.63"/>
    <col collapsed="false" customWidth="true" hidden="false" outlineLevel="0" max="2" min="2" style="4" width="15"/>
    <col collapsed="false" customWidth="true" hidden="false" outlineLevel="0" max="3" min="3" style="4" width="12"/>
    <col collapsed="false" customWidth="true" hidden="false" outlineLevel="0" max="5" min="4" style="4" width="9"/>
    <col collapsed="false" customWidth="true" hidden="false" outlineLevel="0" max="6" min="6" style="4" width="7"/>
    <col collapsed="false" customWidth="true" hidden="false" outlineLevel="0" max="9" min="7" style="4" width="8"/>
    <col collapsed="false" customWidth="true" hidden="false" outlineLevel="0" max="10" min="10" style="4" width="12"/>
    <col collapsed="false" customWidth="true" hidden="false" outlineLevel="0" max="12" min="11" style="4" width="13"/>
    <col collapsed="false" customWidth="true" hidden="false" outlineLevel="0" max="17" min="13" style="4" width="9"/>
    <col collapsed="false" customWidth="true" hidden="false" outlineLevel="0" max="20" min="18" style="4" width="13"/>
    <col collapsed="false" customWidth="true" hidden="false" outlineLevel="0" max="21" min="21" style="4" width="11"/>
    <col collapsed="false" customWidth="true" hidden="false" outlineLevel="0" max="22" min="22" style="4" width="13"/>
    <col collapsed="false" customWidth="true" hidden="false" outlineLevel="0" max="23" min="23" style="4" width="12"/>
    <col collapsed="false" customWidth="true" hidden="false" outlineLevel="0" max="24" min="24" style="4" width="13"/>
    <col collapsed="false" customWidth="true" hidden="false" outlineLevel="0" max="25" min="25" style="4" width="10.91"/>
    <col collapsed="false" customWidth="true" hidden="false" outlineLevel="0" max="26" min="26" style="4" width="14.82"/>
    <col collapsed="false" customWidth="true" hidden="false" outlineLevel="0" max="27" min="27" style="4" width="11.63"/>
    <col collapsed="false" customWidth="true" hidden="false" outlineLevel="0" max="28" min="28" style="4" width="9.91"/>
    <col collapsed="false" customWidth="true" hidden="false" outlineLevel="0" max="29" min="29" style="4" width="17.27"/>
    <col collapsed="false" customWidth="true" hidden="false" outlineLevel="0" max="30" min="30" style="4" width="20.91"/>
    <col collapsed="false" customWidth="true" hidden="false" outlineLevel="0" max="31" min="31" style="4" width="11"/>
    <col collapsed="false" customWidth="true" hidden="false" outlineLevel="0" max="32" min="32" style="4" width="21"/>
  </cols>
  <sheetData>
    <row r="1" customFormat="false" ht="15.75" hidden="false" customHeight="true" outlineLevel="0" collapsed="false">
      <c r="A1" s="5" t="s">
        <v>99</v>
      </c>
    </row>
    <row r="2" customFormat="false" ht="15" hidden="false" customHeight="true" outlineLevel="0" collapsed="false">
      <c r="A2" s="6" t="s">
        <v>100</v>
      </c>
      <c r="B2" s="7" t="n">
        <v>2026</v>
      </c>
    </row>
    <row r="4" customFormat="false" ht="57.75" hidden="false" customHeight="true" outlineLevel="0" collapsed="false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</row>
    <row r="5" customFormat="false" ht="15" hidden="false" customHeight="true" outlineLevel="0" collapsed="false">
      <c r="A5" s="9" t="s">
        <v>30</v>
      </c>
      <c r="B5" s="9" t="s">
        <v>31</v>
      </c>
      <c r="C5" s="9" t="s">
        <v>32</v>
      </c>
      <c r="D5" s="9" t="s">
        <v>33</v>
      </c>
      <c r="E5" s="10" t="n">
        <v>1200</v>
      </c>
      <c r="F5" s="11" t="n">
        <v>2007</v>
      </c>
      <c r="G5" s="11" t="n">
        <v>2010</v>
      </c>
      <c r="H5" s="12" t="n">
        <f aca="false">$B$2-F5</f>
        <v>19</v>
      </c>
      <c r="I5" s="12" t="n">
        <f aca="false">$B$2-G5</f>
        <v>16</v>
      </c>
      <c r="J5" s="13" t="n">
        <v>7800</v>
      </c>
      <c r="K5" s="14" t="n">
        <f aca="false">E5*J5</f>
        <v>9360000</v>
      </c>
      <c r="L5" s="13" t="n">
        <v>9000000</v>
      </c>
      <c r="M5" s="15" t="n">
        <f aca="false">K5/L5-1</f>
        <v>0.04</v>
      </c>
      <c r="N5" s="16" t="n">
        <v>0.22</v>
      </c>
      <c r="O5" s="13" t="n">
        <v>78</v>
      </c>
      <c r="P5" s="12" t="n">
        <f aca="false">(K5/O5)/N5</f>
        <v>545454.545454545</v>
      </c>
      <c r="Q5" s="16" t="n">
        <v>0.15</v>
      </c>
      <c r="R5" s="14" t="n">
        <f aca="false">K5*Q5</f>
        <v>1404000</v>
      </c>
      <c r="S5" s="14" t="n">
        <f aca="false">K5*$B$37</f>
        <v>468000</v>
      </c>
      <c r="T5" s="14" t="n">
        <f aca="false">R5-S5</f>
        <v>936000</v>
      </c>
      <c r="U5" s="13" t="n">
        <v>2100</v>
      </c>
      <c r="V5" s="14" t="n">
        <f aca="false">E5*U5</f>
        <v>2520000</v>
      </c>
      <c r="W5" s="14" t="n">
        <f aca="false">K5*$B$38</f>
        <v>748800</v>
      </c>
      <c r="X5" s="14" t="n">
        <f aca="false">V5+W5</f>
        <v>3268800</v>
      </c>
      <c r="Y5" s="14" t="n">
        <f aca="false">K5*$B$42</f>
        <v>187200</v>
      </c>
      <c r="Z5" s="14" t="n">
        <f aca="false">T5*(1-$B$39)-Y5</f>
        <v>514800</v>
      </c>
      <c r="AA5" s="17" t="n">
        <f aca="false">-X5+Z5*(1-((1+$B$41)/(1+$B$40))^$B$43)/($B$40-$B$41)+W5/(1+$B$40)^$B$43</f>
        <v>1765780.70538086</v>
      </c>
      <c r="AB5" s="15" t="n">
        <f aca="false">Z5/X5</f>
        <v>0.157488986784141</v>
      </c>
      <c r="AC5" s="18" t="str">
        <f aca="false">IF(AA5&gt;=0.05*X5,"Value-creating",IF(AA5&lt;=-0.05*X5,"Value-destroying","Marginal"))</f>
        <v>Value-creating</v>
      </c>
      <c r="AD5" s="19" t="str">
        <f aca="false" t="array" ref="AD5:AD5">_xlfn.IFS(H5&lt;=$B$28,"Keep (maturing)",AND(AC5="Value-destroying",M5&lt;$B$30),"Close / Relocate",AC5="Value-destroying","Turnaround / review",I5&gt;$B$29,"Refurbish",AND(AC5="Value-creating",AB5&gt;=$B$31,D5="Compact"),"Expand format",TRUE(),"Keep")</f>
        <v>Refurbish</v>
      </c>
    </row>
    <row r="6" customFormat="false" ht="15" hidden="false" customHeight="true" outlineLevel="0" collapsed="false">
      <c r="A6" s="9" t="s">
        <v>36</v>
      </c>
      <c r="B6" s="9" t="s">
        <v>37</v>
      </c>
      <c r="C6" s="9" t="s">
        <v>32</v>
      </c>
      <c r="D6" s="9" t="s">
        <v>33</v>
      </c>
      <c r="E6" s="10" t="n">
        <v>1050</v>
      </c>
      <c r="F6" s="11" t="n">
        <v>2023</v>
      </c>
      <c r="G6" s="11" t="n">
        <v>2023</v>
      </c>
      <c r="H6" s="12" t="n">
        <f aca="false">$B$2-F6</f>
        <v>3</v>
      </c>
      <c r="I6" s="12" t="n">
        <f aca="false">$B$2-G6</f>
        <v>3</v>
      </c>
      <c r="J6" s="13" t="n">
        <v>7200</v>
      </c>
      <c r="K6" s="14" t="n">
        <f aca="false">E6*J6</f>
        <v>7560000</v>
      </c>
      <c r="L6" s="13" t="n">
        <v>7150000</v>
      </c>
      <c r="M6" s="15" t="n">
        <f aca="false">K6/L6-1</f>
        <v>0.0573426573426574</v>
      </c>
      <c r="N6" s="16" t="n">
        <v>0.2</v>
      </c>
      <c r="O6" s="13" t="n">
        <v>82</v>
      </c>
      <c r="P6" s="12" t="n">
        <f aca="false">(K6/O6)/N6</f>
        <v>460975.609756098</v>
      </c>
      <c r="Q6" s="16" t="n">
        <v>0.13</v>
      </c>
      <c r="R6" s="14" t="n">
        <f aca="false">K6*Q6</f>
        <v>982800</v>
      </c>
      <c r="S6" s="14" t="n">
        <f aca="false">K6*$B$37</f>
        <v>378000</v>
      </c>
      <c r="T6" s="14" t="n">
        <f aca="false">R6-S6</f>
        <v>604800</v>
      </c>
      <c r="U6" s="13" t="n">
        <v>2200</v>
      </c>
      <c r="V6" s="14" t="n">
        <f aca="false">E6*U6</f>
        <v>2310000</v>
      </c>
      <c r="W6" s="14" t="n">
        <f aca="false">K6*$B$38</f>
        <v>604800</v>
      </c>
      <c r="X6" s="14" t="n">
        <f aca="false">V6+W6</f>
        <v>2914800</v>
      </c>
      <c r="Y6" s="14" t="n">
        <f aca="false">K6*$B$42</f>
        <v>151200</v>
      </c>
      <c r="Z6" s="14" t="n">
        <f aca="false">T6*(1-$B$39)-Y6</f>
        <v>302400</v>
      </c>
      <c r="AA6" s="17" t="n">
        <f aca="false">-X6+Z6*(1-((1+$B$41)/(1+$B$40))^$B$43)/($B$40-$B$41)+W6/(1+$B$40)^$B$43</f>
        <v>94573.7650025447</v>
      </c>
      <c r="AB6" s="15" t="n">
        <f aca="false">Z6/X6</f>
        <v>0.103746397694525</v>
      </c>
      <c r="AC6" s="18" t="str">
        <f aca="false">IF(AA6&gt;=0.05*X6,"Value-creating",IF(AA6&lt;=-0.05*X6,"Value-destroying","Marginal"))</f>
        <v>Marginal</v>
      </c>
      <c r="AD6" s="19" t="str">
        <f aca="false" t="array" ref="AD6:AD6">_xlfn.IFS(H6&lt;=$B$28,"Keep (maturing)",AND(AC6="Value-destroying",M6&lt;$B$30),"Close / Relocate",AC6="Value-destroying","Turnaround / review",I6&gt;$B$29,"Refurbish",AND(AC6="Value-creating",AB6&gt;=$B$31,D6="Compact"),"Expand format",TRUE(),"Keep")</f>
        <v>Keep (maturing)</v>
      </c>
    </row>
    <row r="7" customFormat="false" ht="15" hidden="false" customHeight="true" outlineLevel="0" collapsed="false">
      <c r="A7" s="9" t="s">
        <v>40</v>
      </c>
      <c r="B7" s="9" t="s">
        <v>41</v>
      </c>
      <c r="C7" s="9" t="s">
        <v>42</v>
      </c>
      <c r="D7" s="9" t="s">
        <v>43</v>
      </c>
      <c r="E7" s="10" t="n">
        <v>620</v>
      </c>
      <c r="F7" s="11" t="n">
        <v>2011</v>
      </c>
      <c r="G7" s="11" t="n">
        <v>2018</v>
      </c>
      <c r="H7" s="12" t="n">
        <f aca="false">$B$2-F7</f>
        <v>15</v>
      </c>
      <c r="I7" s="12" t="n">
        <f aca="false">$B$2-G7</f>
        <v>8</v>
      </c>
      <c r="J7" s="13" t="n">
        <v>5400</v>
      </c>
      <c r="K7" s="14" t="n">
        <f aca="false">E7*J7</f>
        <v>3348000</v>
      </c>
      <c r="L7" s="13" t="n">
        <v>3280000</v>
      </c>
      <c r="M7" s="15" t="n">
        <f aca="false">K7/L7-1</f>
        <v>0.0207317073170732</v>
      </c>
      <c r="N7" s="16" t="n">
        <v>0.24</v>
      </c>
      <c r="O7" s="13" t="n">
        <v>55</v>
      </c>
      <c r="P7" s="12" t="n">
        <f aca="false">(K7/O7)/N7</f>
        <v>253636.363636364</v>
      </c>
      <c r="Q7" s="16" t="n">
        <v>0.13</v>
      </c>
      <c r="R7" s="14" t="n">
        <f aca="false">K7*Q7</f>
        <v>435240</v>
      </c>
      <c r="S7" s="14" t="n">
        <f aca="false">K7*$B$37</f>
        <v>167400</v>
      </c>
      <c r="T7" s="14" t="n">
        <f aca="false">R7-S7</f>
        <v>267840</v>
      </c>
      <c r="U7" s="13" t="n">
        <v>1550</v>
      </c>
      <c r="V7" s="14" t="n">
        <f aca="false">E7*U7</f>
        <v>961000</v>
      </c>
      <c r="W7" s="14" t="n">
        <f aca="false">K7*$B$38</f>
        <v>267840</v>
      </c>
      <c r="X7" s="14" t="n">
        <f aca="false">V7+W7</f>
        <v>1228840</v>
      </c>
      <c r="Y7" s="14" t="n">
        <f aca="false">K7*$B$42</f>
        <v>66960</v>
      </c>
      <c r="Z7" s="14" t="n">
        <f aca="false">T7*(1-$B$39)-Y7</f>
        <v>133920</v>
      </c>
      <c r="AA7" s="17" t="n">
        <f aca="false">-X7+Z7*(1-((1+$B$41)/(1+$B$40))^$B$43)/($B$40-$B$41)+W7/(1+$B$40)^$B$43</f>
        <v>103882.66735827</v>
      </c>
      <c r="AB7" s="15" t="n">
        <f aca="false">Z7/X7</f>
        <v>0.108980827447023</v>
      </c>
      <c r="AC7" s="18" t="str">
        <f aca="false">IF(AA7&gt;=0.05*X7,"Value-creating",IF(AA7&lt;=-0.05*X7,"Value-destroying","Marginal"))</f>
        <v>Value-creating</v>
      </c>
      <c r="AD7" s="19" t="str">
        <f aca="false" t="array" ref="AD7:AD7">_xlfn.IFS(H7&lt;=$B$28,"Keep (maturing)",AND(AC7="Value-destroying",M7&lt;$B$30),"Close / Relocate",AC7="Value-destroying","Turnaround / review",I7&gt;$B$29,"Refurbish",AND(AC7="Value-creating",AB7&gt;=$B$31,D7="Compact"),"Expand format",TRUE(),"Keep")</f>
        <v>Keep</v>
      </c>
    </row>
    <row r="8" customFormat="false" ht="15" hidden="false" customHeight="true" outlineLevel="0" collapsed="false">
      <c r="A8" s="9" t="s">
        <v>45</v>
      </c>
      <c r="B8" s="9" t="s">
        <v>46</v>
      </c>
      <c r="C8" s="9" t="s">
        <v>47</v>
      </c>
      <c r="D8" s="9" t="s">
        <v>43</v>
      </c>
      <c r="E8" s="10" t="n">
        <v>640</v>
      </c>
      <c r="F8" s="11" t="n">
        <v>2009</v>
      </c>
      <c r="G8" s="11" t="n">
        <v>2016</v>
      </c>
      <c r="H8" s="12" t="n">
        <f aca="false">$B$2-F8</f>
        <v>17</v>
      </c>
      <c r="I8" s="12" t="n">
        <f aca="false">$B$2-G8</f>
        <v>10</v>
      </c>
      <c r="J8" s="13" t="n">
        <v>4300</v>
      </c>
      <c r="K8" s="14" t="n">
        <f aca="false">E8*J8</f>
        <v>2752000</v>
      </c>
      <c r="L8" s="13" t="n">
        <v>3050000</v>
      </c>
      <c r="M8" s="15" t="n">
        <f aca="false">K8/L8-1</f>
        <v>-0.0977049180327869</v>
      </c>
      <c r="N8" s="16" t="n">
        <v>0.21</v>
      </c>
      <c r="O8" s="13" t="n">
        <v>52</v>
      </c>
      <c r="P8" s="12" t="n">
        <f aca="false">(K8/O8)/N8</f>
        <v>252014.652014652</v>
      </c>
      <c r="Q8" s="16" t="n">
        <v>0.11</v>
      </c>
      <c r="R8" s="14" t="n">
        <f aca="false">K8*Q8</f>
        <v>302720</v>
      </c>
      <c r="S8" s="14" t="n">
        <f aca="false">K8*$B$37</f>
        <v>137600</v>
      </c>
      <c r="T8" s="14" t="n">
        <f aca="false">R8-S8</f>
        <v>165120</v>
      </c>
      <c r="U8" s="13" t="n">
        <v>1450</v>
      </c>
      <c r="V8" s="14" t="n">
        <f aca="false">E8*U8</f>
        <v>928000</v>
      </c>
      <c r="W8" s="14" t="n">
        <f aca="false">K8*$B$38</f>
        <v>220160</v>
      </c>
      <c r="X8" s="14" t="n">
        <f aca="false">V8+W8</f>
        <v>1148160</v>
      </c>
      <c r="Y8" s="14" t="n">
        <f aca="false">K8*$B$42</f>
        <v>55040</v>
      </c>
      <c r="Z8" s="14" t="n">
        <f aca="false">T8*(1-$B$39)-Y8</f>
        <v>68800</v>
      </c>
      <c r="AA8" s="17" t="n">
        <f aca="false">-X8+Z8*(1-((1+$B$41)/(1+$B$40))^$B$43)/($B$40-$B$41)+W8/(1+$B$40)^$B$43</f>
        <v>-437461.306768654</v>
      </c>
      <c r="AB8" s="15" t="n">
        <f aca="false">Z8/X8</f>
        <v>0.0599219620958751</v>
      </c>
      <c r="AC8" s="18" t="str">
        <f aca="false">IF(AA8&gt;=0.05*X8,"Value-creating",IF(AA8&lt;=-0.05*X8,"Value-destroying","Marginal"))</f>
        <v>Value-destroying</v>
      </c>
      <c r="AD8" s="19" t="str">
        <f aca="false" t="array" ref="AD8:AD8">_xlfn.IFS(H8&lt;=$B$28,"Keep (maturing)",AND(AC8="Value-destroying",M8&lt;$B$30),"Close / Relocate",AC8="Value-destroying","Turnaround / review",I8&gt;$B$29,"Refurbish",AND(AC8="Value-creating",AB8&gt;=$B$31,D8="Compact"),"Expand format",TRUE(),"Keep")</f>
        <v>Close / Relocate</v>
      </c>
    </row>
    <row r="9" customFormat="false" ht="15" hidden="false" customHeight="true" outlineLevel="0" collapsed="false">
      <c r="A9" s="9" t="s">
        <v>50</v>
      </c>
      <c r="B9" s="9" t="s">
        <v>51</v>
      </c>
      <c r="C9" s="9" t="s">
        <v>47</v>
      </c>
      <c r="D9" s="9" t="s">
        <v>43</v>
      </c>
      <c r="E9" s="10" t="n">
        <v>600</v>
      </c>
      <c r="F9" s="11" t="n">
        <v>2023</v>
      </c>
      <c r="G9" s="11" t="n">
        <v>2023</v>
      </c>
      <c r="H9" s="12" t="n">
        <f aca="false">$B$2-F9</f>
        <v>3</v>
      </c>
      <c r="I9" s="12" t="n">
        <f aca="false">$B$2-G9</f>
        <v>3</v>
      </c>
      <c r="J9" s="13" t="n">
        <v>5100</v>
      </c>
      <c r="K9" s="14" t="n">
        <f aca="false">E9*J9</f>
        <v>3060000</v>
      </c>
      <c r="L9" s="13" t="n">
        <v>2750000</v>
      </c>
      <c r="M9" s="15" t="n">
        <f aca="false">K9/L9-1</f>
        <v>0.112727272727273</v>
      </c>
      <c r="N9" s="16" t="n">
        <v>0.23</v>
      </c>
      <c r="O9" s="13" t="n">
        <v>54</v>
      </c>
      <c r="P9" s="12" t="n">
        <f aca="false">(K9/O9)/N9</f>
        <v>246376.811594203</v>
      </c>
      <c r="Q9" s="16" t="n">
        <v>0.13</v>
      </c>
      <c r="R9" s="14" t="n">
        <f aca="false">K9*Q9</f>
        <v>397800</v>
      </c>
      <c r="S9" s="14" t="n">
        <f aca="false">K9*$B$37</f>
        <v>153000</v>
      </c>
      <c r="T9" s="14" t="n">
        <f aca="false">R9-S9</f>
        <v>244800</v>
      </c>
      <c r="U9" s="13" t="n">
        <v>1600</v>
      </c>
      <c r="V9" s="14" t="n">
        <f aca="false">E9*U9</f>
        <v>960000</v>
      </c>
      <c r="W9" s="14" t="n">
        <f aca="false">K9*$B$38</f>
        <v>244800</v>
      </c>
      <c r="X9" s="14" t="n">
        <f aca="false">V9+W9</f>
        <v>1204800</v>
      </c>
      <c r="Y9" s="14" t="n">
        <f aca="false">K9*$B$42</f>
        <v>61200</v>
      </c>
      <c r="Z9" s="14" t="n">
        <f aca="false">T9*(1-$B$39)-Y9</f>
        <v>122400</v>
      </c>
      <c r="AA9" s="17" t="n">
        <f aca="false">-X9+Z9*(1-((1+$B$41)/(1+$B$40))^$B$43)/($B$40-$B$41)+W9/(1+$B$40)^$B$43</f>
        <v>13279.8572629348</v>
      </c>
      <c r="AB9" s="15" t="n">
        <f aca="false">Z9/X9</f>
        <v>0.101593625498008</v>
      </c>
      <c r="AC9" s="18" t="str">
        <f aca="false">IF(AA9&gt;=0.05*X9,"Value-creating",IF(AA9&lt;=-0.05*X9,"Value-destroying","Marginal"))</f>
        <v>Marginal</v>
      </c>
      <c r="AD9" s="19" t="str">
        <f aca="false" t="array" ref="AD9:AD9">_xlfn.IFS(H9&lt;=$B$28,"Keep (maturing)",AND(AC9="Value-destroying",M9&lt;$B$30),"Close / Relocate",AC9="Value-destroying","Turnaround / review",I9&gt;$B$29,"Refurbish",AND(AC9="Value-creating",AB9&gt;=$B$31,D9="Compact"),"Expand format",TRUE(),"Keep")</f>
        <v>Keep (maturing)</v>
      </c>
    </row>
    <row r="10" customFormat="false" ht="15" hidden="false" customHeight="true" outlineLevel="0" collapsed="false">
      <c r="A10" s="9" t="s">
        <v>52</v>
      </c>
      <c r="B10" s="9" t="s">
        <v>53</v>
      </c>
      <c r="C10" s="9" t="s">
        <v>47</v>
      </c>
      <c r="D10" s="9" t="s">
        <v>54</v>
      </c>
      <c r="E10" s="10" t="n">
        <v>260</v>
      </c>
      <c r="F10" s="11" t="n">
        <v>2024</v>
      </c>
      <c r="G10" s="11" t="n">
        <v>2024</v>
      </c>
      <c r="H10" s="12" t="n">
        <f aca="false">$B$2-F10</f>
        <v>2</v>
      </c>
      <c r="I10" s="12" t="n">
        <f aca="false">$B$2-G10</f>
        <v>2</v>
      </c>
      <c r="J10" s="13" t="n">
        <v>5600</v>
      </c>
      <c r="K10" s="14" t="n">
        <f aca="false">E10*J10</f>
        <v>1456000</v>
      </c>
      <c r="L10" s="13" t="n">
        <v>1380000</v>
      </c>
      <c r="M10" s="15" t="n">
        <f aca="false">K10/L10-1</f>
        <v>0.0550724637681159</v>
      </c>
      <c r="N10" s="16" t="n">
        <v>0.25</v>
      </c>
      <c r="O10" s="13" t="n">
        <v>48</v>
      </c>
      <c r="P10" s="12" t="n">
        <f aca="false">(K10/O10)/N10</f>
        <v>121333.333333333</v>
      </c>
      <c r="Q10" s="16" t="n">
        <v>0.12</v>
      </c>
      <c r="R10" s="14" t="n">
        <f aca="false">K10*Q10</f>
        <v>174720</v>
      </c>
      <c r="S10" s="14" t="n">
        <f aca="false">K10*$B$37</f>
        <v>72800</v>
      </c>
      <c r="T10" s="14" t="n">
        <f aca="false">R10-S10</f>
        <v>101920</v>
      </c>
      <c r="U10" s="13" t="n">
        <v>1250</v>
      </c>
      <c r="V10" s="14" t="n">
        <f aca="false">E10*U10</f>
        <v>325000</v>
      </c>
      <c r="W10" s="14" t="n">
        <f aca="false">K10*$B$38</f>
        <v>116480</v>
      </c>
      <c r="X10" s="14" t="n">
        <f aca="false">V10+W10</f>
        <v>441480</v>
      </c>
      <c r="Y10" s="14" t="n">
        <f aca="false">K10*$B$42</f>
        <v>29120</v>
      </c>
      <c r="Z10" s="14" t="n">
        <f aca="false">T10*(1-$B$39)-Y10</f>
        <v>47320</v>
      </c>
      <c r="AA10" s="17" t="n">
        <f aca="false">-X10+Z10*(1-((1+$B$41)/(1+$B$40))^$B$43)/($B$40-$B$41)+W10/(1+$B$40)^$B$43</f>
        <v>36316.143915557</v>
      </c>
      <c r="AB10" s="15" t="n">
        <f aca="false">Z10/X10</f>
        <v>0.10718492343934</v>
      </c>
      <c r="AC10" s="18" t="str">
        <f aca="false">IF(AA10&gt;=0.05*X10,"Value-creating",IF(AA10&lt;=-0.05*X10,"Value-destroying","Marginal"))</f>
        <v>Value-creating</v>
      </c>
      <c r="AD10" s="19" t="str">
        <f aca="false" t="array" ref="AD10:AD10">_xlfn.IFS(H10&lt;=$B$28,"Keep (maturing)",AND(AC10="Value-destroying",M10&lt;$B$30),"Close / Relocate",AC10="Value-destroying","Turnaround / review",I10&gt;$B$29,"Refurbish",AND(AC10="Value-creating",AB10&gt;=$B$31,D10="Compact"),"Expand format",TRUE(),"Keep")</f>
        <v>Keep (maturing)</v>
      </c>
    </row>
    <row r="11" customFormat="false" ht="15" hidden="false" customHeight="true" outlineLevel="0" collapsed="false">
      <c r="A11" s="9" t="s">
        <v>55</v>
      </c>
      <c r="B11" s="9" t="s">
        <v>56</v>
      </c>
      <c r="C11" s="9" t="s">
        <v>57</v>
      </c>
      <c r="D11" s="9" t="s">
        <v>43</v>
      </c>
      <c r="E11" s="10" t="n">
        <v>580</v>
      </c>
      <c r="F11" s="11" t="n">
        <v>2013</v>
      </c>
      <c r="G11" s="11" t="n">
        <v>2019</v>
      </c>
      <c r="H11" s="12" t="n">
        <f aca="false">$B$2-F11</f>
        <v>13</v>
      </c>
      <c r="I11" s="12" t="n">
        <f aca="false">$B$2-G11</f>
        <v>7</v>
      </c>
      <c r="J11" s="13" t="n">
        <v>5600</v>
      </c>
      <c r="K11" s="14" t="n">
        <f aca="false">E11*J11</f>
        <v>3248000</v>
      </c>
      <c r="L11" s="13" t="n">
        <v>3180000</v>
      </c>
      <c r="M11" s="15" t="n">
        <f aca="false">K11/L11-1</f>
        <v>0.0213836477987421</v>
      </c>
      <c r="N11" s="16" t="n">
        <v>0.25</v>
      </c>
      <c r="O11" s="13" t="n">
        <v>53</v>
      </c>
      <c r="P11" s="12" t="n">
        <f aca="false">(K11/O11)/N11</f>
        <v>245132.075471698</v>
      </c>
      <c r="Q11" s="16" t="n">
        <v>0.14</v>
      </c>
      <c r="R11" s="14" t="n">
        <f aca="false">K11*Q11</f>
        <v>454720</v>
      </c>
      <c r="S11" s="14" t="n">
        <f aca="false">K11*$B$37</f>
        <v>162400</v>
      </c>
      <c r="T11" s="14" t="n">
        <f aca="false">R11-S11</f>
        <v>292320</v>
      </c>
      <c r="U11" s="13" t="n">
        <v>1500</v>
      </c>
      <c r="V11" s="14" t="n">
        <f aca="false">E11*U11</f>
        <v>870000</v>
      </c>
      <c r="W11" s="14" t="n">
        <f aca="false">K11*$B$38</f>
        <v>259840</v>
      </c>
      <c r="X11" s="14" t="n">
        <f aca="false">V11+W11</f>
        <v>1129840</v>
      </c>
      <c r="Y11" s="14" t="n">
        <f aca="false">K11*$B$42</f>
        <v>64960</v>
      </c>
      <c r="Z11" s="14" t="n">
        <f aca="false">T11*(1-$B$39)-Y11</f>
        <v>154280</v>
      </c>
      <c r="AA11" s="17" t="n">
        <f aca="false">-X11+Z11*(1-((1+$B$41)/(1+$B$40))^$B$43)/($B$40-$B$41)+W11/(1+$B$40)^$B$43</f>
        <v>390139.335723324</v>
      </c>
      <c r="AB11" s="15" t="n">
        <f aca="false">Z11/X11</f>
        <v>0.136550308008214</v>
      </c>
      <c r="AC11" s="18" t="str">
        <f aca="false">IF(AA11&gt;=0.05*X11,"Value-creating",IF(AA11&lt;=-0.05*X11,"Value-destroying","Marginal"))</f>
        <v>Value-creating</v>
      </c>
      <c r="AD11" s="19" t="str">
        <f aca="false" t="array" ref="AD11:AD11">_xlfn.IFS(H11&lt;=$B$28,"Keep (maturing)",AND(AC11="Value-destroying",M11&lt;$B$30),"Close / Relocate",AC11="Value-destroying","Turnaround / review",I11&gt;$B$29,"Refurbish",AND(AC11="Value-creating",AB11&gt;=$B$31,D11="Compact"),"Expand format",TRUE(),"Keep")</f>
        <v>Keep</v>
      </c>
    </row>
    <row r="12" customFormat="false" ht="15" hidden="false" customHeight="true" outlineLevel="0" collapsed="false">
      <c r="A12" s="9" t="s">
        <v>58</v>
      </c>
      <c r="B12" s="9" t="s">
        <v>59</v>
      </c>
      <c r="C12" s="9" t="s">
        <v>60</v>
      </c>
      <c r="D12" s="9" t="s">
        <v>43</v>
      </c>
      <c r="E12" s="10" t="n">
        <v>600</v>
      </c>
      <c r="F12" s="11" t="n">
        <v>2012</v>
      </c>
      <c r="G12" s="11" t="n">
        <v>2020</v>
      </c>
      <c r="H12" s="12" t="n">
        <f aca="false">$B$2-F12</f>
        <v>14</v>
      </c>
      <c r="I12" s="12" t="n">
        <f aca="false">$B$2-G12</f>
        <v>6</v>
      </c>
      <c r="J12" s="13" t="n">
        <v>5000</v>
      </c>
      <c r="K12" s="14" t="n">
        <f aca="false">E12*J12</f>
        <v>3000000</v>
      </c>
      <c r="L12" s="13" t="n">
        <v>2940000</v>
      </c>
      <c r="M12" s="15" t="n">
        <f aca="false">K12/L12-1</f>
        <v>0.0204081632653061</v>
      </c>
      <c r="N12" s="16" t="n">
        <v>0.23</v>
      </c>
      <c r="O12" s="13" t="n">
        <v>54</v>
      </c>
      <c r="P12" s="12" t="n">
        <f aca="false">(K12/O12)/N12</f>
        <v>241545.893719807</v>
      </c>
      <c r="Q12" s="16" t="n">
        <v>0.13</v>
      </c>
      <c r="R12" s="14" t="n">
        <f aca="false">K12*Q12</f>
        <v>390000</v>
      </c>
      <c r="S12" s="14" t="n">
        <f aca="false">K12*$B$37</f>
        <v>150000</v>
      </c>
      <c r="T12" s="14" t="n">
        <f aca="false">R12-S12</f>
        <v>240000</v>
      </c>
      <c r="U12" s="13" t="n">
        <v>1500</v>
      </c>
      <c r="V12" s="14" t="n">
        <f aca="false">E12*U12</f>
        <v>900000</v>
      </c>
      <c r="W12" s="14" t="n">
        <f aca="false">K12*$B$38</f>
        <v>240000</v>
      </c>
      <c r="X12" s="14" t="n">
        <f aca="false">V12+W12</f>
        <v>1140000</v>
      </c>
      <c r="Y12" s="14" t="n">
        <f aca="false">K12*$B$42</f>
        <v>60000</v>
      </c>
      <c r="Z12" s="14" t="n">
        <f aca="false">T12*(1-$B$39)-Y12</f>
        <v>120000</v>
      </c>
      <c r="AA12" s="17" t="n">
        <f aca="false">-X12+Z12*(1-((1+$B$41)/(1+$B$40))^$B$43)/($B$40-$B$41)+W12/(1+$B$40)^$B$43</f>
        <v>54195.9384930734</v>
      </c>
      <c r="AB12" s="15" t="n">
        <f aca="false">Z12/X12</f>
        <v>0.105263157894737</v>
      </c>
      <c r="AC12" s="18" t="str">
        <f aca="false">IF(AA12&gt;=0.05*X12,"Value-creating",IF(AA12&lt;=-0.05*X12,"Value-destroying","Marginal"))</f>
        <v>Marginal</v>
      </c>
      <c r="AD12" s="19" t="str">
        <f aca="false" t="array" ref="AD12:AD12">_xlfn.IFS(H12&lt;=$B$28,"Keep (maturing)",AND(AC12="Value-destroying",M12&lt;$B$30),"Close / Relocate",AC12="Value-destroying","Turnaround / review",I12&gt;$B$29,"Refurbish",AND(AC12="Value-creating",AB12&gt;=$B$31,D12="Compact"),"Expand format",TRUE(),"Keep")</f>
        <v>Keep</v>
      </c>
    </row>
    <row r="13" customFormat="false" ht="15" hidden="false" customHeight="true" outlineLevel="0" collapsed="false">
      <c r="A13" s="9" t="s">
        <v>61</v>
      </c>
      <c r="B13" s="9" t="s">
        <v>62</v>
      </c>
      <c r="C13" s="9" t="s">
        <v>63</v>
      </c>
      <c r="D13" s="9" t="s">
        <v>43</v>
      </c>
      <c r="E13" s="10" t="n">
        <v>560</v>
      </c>
      <c r="F13" s="11" t="n">
        <v>2010</v>
      </c>
      <c r="G13" s="11" t="n">
        <v>2017</v>
      </c>
      <c r="H13" s="12" t="n">
        <f aca="false">$B$2-F13</f>
        <v>16</v>
      </c>
      <c r="I13" s="12" t="n">
        <f aca="false">$B$2-G13</f>
        <v>9</v>
      </c>
      <c r="J13" s="13" t="n">
        <v>5300</v>
      </c>
      <c r="K13" s="14" t="n">
        <f aca="false">E13*J13</f>
        <v>2968000</v>
      </c>
      <c r="L13" s="13" t="n">
        <v>2910000</v>
      </c>
      <c r="M13" s="15" t="n">
        <f aca="false">K13/L13-1</f>
        <v>0.0199312714776632</v>
      </c>
      <c r="N13" s="16" t="n">
        <v>0.24</v>
      </c>
      <c r="O13" s="13" t="n">
        <v>56</v>
      </c>
      <c r="P13" s="12" t="n">
        <f aca="false">(K13/O13)/N13</f>
        <v>220833.333333333</v>
      </c>
      <c r="Q13" s="16" t="n">
        <v>0.14</v>
      </c>
      <c r="R13" s="14" t="n">
        <f aca="false">K13*Q13</f>
        <v>415520</v>
      </c>
      <c r="S13" s="14" t="n">
        <f aca="false">K13*$B$37</f>
        <v>148400</v>
      </c>
      <c r="T13" s="14" t="n">
        <f aca="false">R13-S13</f>
        <v>267120</v>
      </c>
      <c r="U13" s="13" t="n">
        <v>1550</v>
      </c>
      <c r="V13" s="14" t="n">
        <f aca="false">E13*U13</f>
        <v>868000</v>
      </c>
      <c r="W13" s="14" t="n">
        <f aca="false">K13*$B$38</f>
        <v>237440</v>
      </c>
      <c r="X13" s="14" t="n">
        <f aca="false">V13+W13</f>
        <v>1105440</v>
      </c>
      <c r="Y13" s="14" t="n">
        <f aca="false">K13*$B$42</f>
        <v>59360</v>
      </c>
      <c r="Z13" s="14" t="n">
        <f aca="false">T13*(1-$B$39)-Y13</f>
        <v>140980</v>
      </c>
      <c r="AA13" s="17" t="n">
        <f aca="false">-X13+Z13*(1-((1+$B$41)/(1+$B$40))^$B$43)/($B$40-$B$41)+W13/(1+$B$40)^$B$43</f>
        <v>283506.634367865</v>
      </c>
      <c r="AB13" s="15" t="n">
        <f aca="false">Z13/X13</f>
        <v>0.127532928064843</v>
      </c>
      <c r="AC13" s="18" t="str">
        <f aca="false">IF(AA13&gt;=0.05*X13,"Value-creating",IF(AA13&lt;=-0.05*X13,"Value-destroying","Marginal"))</f>
        <v>Value-creating</v>
      </c>
      <c r="AD13" s="19" t="str">
        <f aca="false" t="array" ref="AD13:AD13">_xlfn.IFS(H13&lt;=$B$28,"Keep (maturing)",AND(AC13="Value-destroying",M13&lt;$B$30),"Close / Relocate",AC13="Value-destroying","Turnaround / review",I13&gt;$B$29,"Refurbish",AND(AC13="Value-creating",AB13&gt;=$B$31,D13="Compact"),"Expand format",TRUE(),"Keep")</f>
        <v>Keep</v>
      </c>
    </row>
    <row r="14" customFormat="false" ht="15" hidden="false" customHeight="true" outlineLevel="0" collapsed="false">
      <c r="A14" s="9" t="s">
        <v>64</v>
      </c>
      <c r="B14" s="9" t="s">
        <v>65</v>
      </c>
      <c r="C14" s="9" t="s">
        <v>66</v>
      </c>
      <c r="D14" s="9" t="s">
        <v>54</v>
      </c>
      <c r="E14" s="10" t="n">
        <v>240</v>
      </c>
      <c r="F14" s="11" t="n">
        <v>2022</v>
      </c>
      <c r="G14" s="11" t="n">
        <v>2022</v>
      </c>
      <c r="H14" s="12" t="n">
        <f aca="false">$B$2-F14</f>
        <v>4</v>
      </c>
      <c r="I14" s="12" t="n">
        <f aca="false">$B$2-G14</f>
        <v>4</v>
      </c>
      <c r="J14" s="13" t="n">
        <v>8500</v>
      </c>
      <c r="K14" s="14" t="n">
        <f aca="false">E14*J14</f>
        <v>2040000</v>
      </c>
      <c r="L14" s="13" t="n">
        <v>1880000</v>
      </c>
      <c r="M14" s="15" t="n">
        <f aca="false">K14/L14-1</f>
        <v>0.0851063829787233</v>
      </c>
      <c r="N14" s="16" t="n">
        <v>0.28</v>
      </c>
      <c r="O14" s="13" t="n">
        <v>51</v>
      </c>
      <c r="P14" s="12" t="n">
        <f aca="false">(K14/O14)/N14</f>
        <v>142857.142857143</v>
      </c>
      <c r="Q14" s="16" t="n">
        <v>0.15</v>
      </c>
      <c r="R14" s="14" t="n">
        <f aca="false">K14*Q14</f>
        <v>306000</v>
      </c>
      <c r="S14" s="14" t="n">
        <f aca="false">K14*$B$37</f>
        <v>102000</v>
      </c>
      <c r="T14" s="14" t="n">
        <f aca="false">R14-S14</f>
        <v>204000</v>
      </c>
      <c r="U14" s="13" t="n">
        <v>1900</v>
      </c>
      <c r="V14" s="14" t="n">
        <f aca="false">E14*U14</f>
        <v>456000</v>
      </c>
      <c r="W14" s="14" t="n">
        <f aca="false">K14*$B$38</f>
        <v>163200</v>
      </c>
      <c r="X14" s="14" t="n">
        <f aca="false">V14+W14</f>
        <v>619200</v>
      </c>
      <c r="Y14" s="14" t="n">
        <f aca="false">K14*$B$42</f>
        <v>40800</v>
      </c>
      <c r="Z14" s="14" t="n">
        <f aca="false">T14*(1-$B$39)-Y14</f>
        <v>112200</v>
      </c>
      <c r="AA14" s="17" t="n">
        <f aca="false">-X14+Z14*(1-((1+$B$41)/(1+$B$40))^$B$43)/($B$40-$B$41)+W14/(1+$B$40)^$B$43</f>
        <v>478080.410147111</v>
      </c>
      <c r="AB14" s="15" t="n">
        <f aca="false">Z14/X14</f>
        <v>0.181201550387597</v>
      </c>
      <c r="AC14" s="18" t="str">
        <f aca="false">IF(AA14&gt;=0.05*X14,"Value-creating",IF(AA14&lt;=-0.05*X14,"Value-destroying","Marginal"))</f>
        <v>Value-creating</v>
      </c>
      <c r="AD14" s="19" t="str">
        <f aca="false" t="array" ref="AD14:AD14">_xlfn.IFS(H14&lt;=$B$28,"Keep (maturing)",AND(AC14="Value-destroying",M14&lt;$B$30),"Close / Relocate",AC14="Value-destroying","Turnaround / review",I14&gt;$B$29,"Refurbish",AND(AC14="Value-creating",AB14&gt;=$B$31,D14="Compact"),"Expand format",TRUE(),"Keep")</f>
        <v>Expand format</v>
      </c>
    </row>
    <row r="15" customFormat="false" ht="15" hidden="false" customHeight="true" outlineLevel="0" collapsed="false">
      <c r="A15" s="9" t="s">
        <v>68</v>
      </c>
      <c r="B15" s="9" t="s">
        <v>69</v>
      </c>
      <c r="C15" s="9" t="s">
        <v>70</v>
      </c>
      <c r="D15" s="9" t="s">
        <v>43</v>
      </c>
      <c r="E15" s="10" t="n">
        <v>640</v>
      </c>
      <c r="F15" s="11" t="n">
        <v>2011</v>
      </c>
      <c r="G15" s="11" t="n">
        <v>2016</v>
      </c>
      <c r="H15" s="12" t="n">
        <f aca="false">$B$2-F15</f>
        <v>15</v>
      </c>
      <c r="I15" s="12" t="n">
        <f aca="false">$B$2-G15</f>
        <v>10</v>
      </c>
      <c r="J15" s="13" t="n">
        <v>4600</v>
      </c>
      <c r="K15" s="14" t="n">
        <f aca="false">E15*J15</f>
        <v>2944000</v>
      </c>
      <c r="L15" s="13" t="n">
        <v>2900000</v>
      </c>
      <c r="M15" s="15" t="n">
        <f aca="false">K15/L15-1</f>
        <v>0.0151724137931035</v>
      </c>
      <c r="N15" s="16" t="n">
        <v>0.21</v>
      </c>
      <c r="O15" s="13" t="n">
        <v>50</v>
      </c>
      <c r="P15" s="12" t="n">
        <f aca="false">(K15/O15)/N15</f>
        <v>280380.952380952</v>
      </c>
      <c r="Q15" s="16" t="n">
        <v>0.11</v>
      </c>
      <c r="R15" s="14" t="n">
        <f aca="false">K15*Q15</f>
        <v>323840</v>
      </c>
      <c r="S15" s="14" t="n">
        <f aca="false">K15*$B$37</f>
        <v>147200</v>
      </c>
      <c r="T15" s="14" t="n">
        <f aca="false">R15-S15</f>
        <v>176640</v>
      </c>
      <c r="U15" s="13" t="n">
        <v>1500</v>
      </c>
      <c r="V15" s="14" t="n">
        <f aca="false">E15*U15</f>
        <v>960000</v>
      </c>
      <c r="W15" s="14" t="n">
        <f aca="false">K15*$B$38</f>
        <v>235520</v>
      </c>
      <c r="X15" s="14" t="n">
        <f aca="false">V15+W15</f>
        <v>1195520</v>
      </c>
      <c r="Y15" s="14" t="n">
        <f aca="false">K15*$B$42</f>
        <v>58880</v>
      </c>
      <c r="Z15" s="14" t="n">
        <f aca="false">T15*(1-$B$39)-Y15</f>
        <v>73600</v>
      </c>
      <c r="AA15" s="17" t="n">
        <f aca="false">-X15+Z15*(1-((1+$B$41)/(1+$B$40))^$B$43)/($B$40-$B$41)+W15/(1+$B$40)^$B$43</f>
        <v>-435237.677008328</v>
      </c>
      <c r="AB15" s="15" t="n">
        <f aca="false">Z15/X15</f>
        <v>0.0615631691648822</v>
      </c>
      <c r="AC15" s="18" t="str">
        <f aca="false">IF(AA15&gt;=0.05*X15,"Value-creating",IF(AA15&lt;=-0.05*X15,"Value-destroying","Marginal"))</f>
        <v>Value-destroying</v>
      </c>
      <c r="AD15" s="19" t="str">
        <f aca="false" t="array" ref="AD15:AD15">_xlfn.IFS(H15&lt;=$B$28,"Keep (maturing)",AND(AC15="Value-destroying",M15&lt;$B$30),"Close / Relocate",AC15="Value-destroying","Turnaround / review",I15&gt;$B$29,"Refurbish",AND(AC15="Value-creating",AB15&gt;=$B$31,D15="Compact"),"Expand format",TRUE(),"Keep")</f>
        <v>Turnaround / review</v>
      </c>
    </row>
    <row r="16" customFormat="false" ht="15" hidden="false" customHeight="true" outlineLevel="0" collapsed="false">
      <c r="A16" s="9" t="s">
        <v>72</v>
      </c>
      <c r="B16" s="9" t="s">
        <v>73</v>
      </c>
      <c r="C16" s="9" t="s">
        <v>74</v>
      </c>
      <c r="D16" s="9" t="s">
        <v>43</v>
      </c>
      <c r="E16" s="10" t="n">
        <v>660</v>
      </c>
      <c r="F16" s="11" t="n">
        <v>2010</v>
      </c>
      <c r="G16" s="11" t="n">
        <v>2015</v>
      </c>
      <c r="H16" s="12" t="n">
        <f aca="false">$B$2-F16</f>
        <v>16</v>
      </c>
      <c r="I16" s="12" t="n">
        <f aca="false">$B$2-G16</f>
        <v>11</v>
      </c>
      <c r="J16" s="13" t="n">
        <v>4400</v>
      </c>
      <c r="K16" s="14" t="n">
        <f aca="false">E16*J16</f>
        <v>2904000</v>
      </c>
      <c r="L16" s="13" t="n">
        <v>2930000</v>
      </c>
      <c r="M16" s="15" t="n">
        <f aca="false">K16/L16-1</f>
        <v>-0.00887372013651877</v>
      </c>
      <c r="N16" s="16" t="n">
        <v>0.2</v>
      </c>
      <c r="O16" s="13" t="n">
        <v>49</v>
      </c>
      <c r="P16" s="12" t="n">
        <f aca="false">(K16/O16)/N16</f>
        <v>296326.530612245</v>
      </c>
      <c r="Q16" s="16" t="n">
        <v>0.1</v>
      </c>
      <c r="R16" s="14" t="n">
        <f aca="false">K16*Q16</f>
        <v>290400</v>
      </c>
      <c r="S16" s="14" t="n">
        <f aca="false">K16*$B$37</f>
        <v>145200</v>
      </c>
      <c r="T16" s="14" t="n">
        <f aca="false">R16-S16</f>
        <v>145200</v>
      </c>
      <c r="U16" s="13" t="n">
        <v>1500</v>
      </c>
      <c r="V16" s="14" t="n">
        <f aca="false">E16*U16</f>
        <v>990000</v>
      </c>
      <c r="W16" s="14" t="n">
        <f aca="false">K16*$B$38</f>
        <v>232320</v>
      </c>
      <c r="X16" s="14" t="n">
        <f aca="false">V16+W16</f>
        <v>1222320</v>
      </c>
      <c r="Y16" s="14" t="n">
        <f aca="false">K16*$B$42</f>
        <v>58080</v>
      </c>
      <c r="Z16" s="14" t="n">
        <f aca="false">T16*(1-$B$39)-Y16</f>
        <v>50820</v>
      </c>
      <c r="AA16" s="17" t="n">
        <f aca="false">-X16+Z16*(1-((1+$B$41)/(1+$B$40))^$B$43)/($B$40-$B$41)+W16/(1+$B$40)^$B$43</f>
        <v>-675382.234043241</v>
      </c>
      <c r="AB16" s="15" t="n">
        <f aca="false">Z16/X16</f>
        <v>0.0415766738660907</v>
      </c>
      <c r="AC16" s="18" t="str">
        <f aca="false">IF(AA16&gt;=0.05*X16,"Value-creating",IF(AA16&lt;=-0.05*X16,"Value-destroying","Marginal"))</f>
        <v>Value-destroying</v>
      </c>
      <c r="AD16" s="19" t="str">
        <f aca="false" t="array" ref="AD16:AD16">_xlfn.IFS(H16&lt;=$B$28,"Keep (maturing)",AND(AC16="Value-destroying",M16&lt;$B$30),"Close / Relocate",AC16="Value-destroying","Turnaround / review",I16&gt;$B$29,"Refurbish",AND(AC16="Value-creating",AB16&gt;=$B$31,D16="Compact"),"Expand format",TRUE(),"Keep")</f>
        <v>Turnaround / review</v>
      </c>
    </row>
    <row r="17" customFormat="false" ht="15" hidden="false" customHeight="true" outlineLevel="0" collapsed="false">
      <c r="A17" s="9" t="s">
        <v>75</v>
      </c>
      <c r="B17" s="9" t="s">
        <v>76</v>
      </c>
      <c r="C17" s="9" t="s">
        <v>77</v>
      </c>
      <c r="D17" s="9" t="s">
        <v>54</v>
      </c>
      <c r="E17" s="10" t="n">
        <v>250</v>
      </c>
      <c r="F17" s="11" t="n">
        <v>2014</v>
      </c>
      <c r="G17" s="11" t="n">
        <v>2019</v>
      </c>
      <c r="H17" s="12" t="n">
        <f aca="false">$B$2-F17</f>
        <v>12</v>
      </c>
      <c r="I17" s="12" t="n">
        <f aca="false">$B$2-G17</f>
        <v>7</v>
      </c>
      <c r="J17" s="13" t="n">
        <v>5200</v>
      </c>
      <c r="K17" s="14" t="n">
        <f aca="false">E17*J17</f>
        <v>1300000</v>
      </c>
      <c r="L17" s="13" t="n">
        <v>1270000</v>
      </c>
      <c r="M17" s="15" t="n">
        <f aca="false">K17/L17-1</f>
        <v>0.0236220472440944</v>
      </c>
      <c r="N17" s="16" t="n">
        <v>0.26</v>
      </c>
      <c r="O17" s="13" t="n">
        <v>47</v>
      </c>
      <c r="P17" s="12" t="n">
        <f aca="false">(K17/O17)/N17</f>
        <v>106382.978723404</v>
      </c>
      <c r="Q17" s="16" t="n">
        <v>0.13</v>
      </c>
      <c r="R17" s="14" t="n">
        <f aca="false">K17*Q17</f>
        <v>169000</v>
      </c>
      <c r="S17" s="14" t="n">
        <f aca="false">K17*$B$37</f>
        <v>65000</v>
      </c>
      <c r="T17" s="14" t="n">
        <f aca="false">R17-S17</f>
        <v>104000</v>
      </c>
      <c r="U17" s="13" t="n">
        <v>1200</v>
      </c>
      <c r="V17" s="14" t="n">
        <f aca="false">E17*U17</f>
        <v>300000</v>
      </c>
      <c r="W17" s="14" t="n">
        <f aca="false">K17*$B$38</f>
        <v>104000</v>
      </c>
      <c r="X17" s="14" t="n">
        <f aca="false">V17+W17</f>
        <v>404000</v>
      </c>
      <c r="Y17" s="14" t="n">
        <f aca="false">K17*$B$42</f>
        <v>26000</v>
      </c>
      <c r="Z17" s="14" t="n">
        <f aca="false">T17*(1-$B$39)-Y17</f>
        <v>52000</v>
      </c>
      <c r="AA17" s="17" t="n">
        <f aca="false">-X17+Z17*(1-((1+$B$41)/(1+$B$40))^$B$43)/($B$40-$B$41)+W17/(1+$B$40)^$B$43</f>
        <v>113484.906680332</v>
      </c>
      <c r="AB17" s="15" t="n">
        <f aca="false">Z17/X17</f>
        <v>0.128712871287129</v>
      </c>
      <c r="AC17" s="18" t="str">
        <f aca="false">IF(AA17&gt;=0.05*X17,"Value-creating",IF(AA17&lt;=-0.05*X17,"Value-destroying","Marginal"))</f>
        <v>Value-creating</v>
      </c>
      <c r="AD17" s="19" t="str">
        <f aca="false" t="array" ref="AD17:AD17">_xlfn.IFS(H17&lt;=$B$28,"Keep (maturing)",AND(AC17="Value-destroying",M17&lt;$B$30),"Close / Relocate",AC17="Value-destroying","Turnaround / review",I17&gt;$B$29,"Refurbish",AND(AC17="Value-creating",AB17&gt;=$B$31,D17="Compact"),"Expand format",TRUE(),"Keep")</f>
        <v>Keep</v>
      </c>
    </row>
    <row r="18" customFormat="false" ht="15" hidden="false" customHeight="true" outlineLevel="0" collapsed="false">
      <c r="A18" s="9" t="s">
        <v>78</v>
      </c>
      <c r="B18" s="9" t="s">
        <v>79</v>
      </c>
      <c r="C18" s="9" t="s">
        <v>80</v>
      </c>
      <c r="D18" s="9" t="s">
        <v>43</v>
      </c>
      <c r="E18" s="10" t="n">
        <v>590</v>
      </c>
      <c r="F18" s="11" t="n">
        <v>2024</v>
      </c>
      <c r="G18" s="11" t="n">
        <v>2024</v>
      </c>
      <c r="H18" s="12" t="n">
        <f aca="false">$B$2-F18</f>
        <v>2</v>
      </c>
      <c r="I18" s="12" t="n">
        <f aca="false">$B$2-G18</f>
        <v>2</v>
      </c>
      <c r="J18" s="13" t="n">
        <v>4700</v>
      </c>
      <c r="K18" s="14" t="n">
        <f aca="false">E18*J18</f>
        <v>2773000</v>
      </c>
      <c r="L18" s="13" t="n">
        <v>2500000</v>
      </c>
      <c r="M18" s="15" t="n">
        <f aca="false">K18/L18-1</f>
        <v>0.1092</v>
      </c>
      <c r="N18" s="16" t="n">
        <v>0.22</v>
      </c>
      <c r="O18" s="13" t="n">
        <v>51</v>
      </c>
      <c r="P18" s="12" t="n">
        <f aca="false">(K18/O18)/N18</f>
        <v>247147.950089127</v>
      </c>
      <c r="Q18" s="16" t="n">
        <v>0.11</v>
      </c>
      <c r="R18" s="14" t="n">
        <f aca="false">K18*Q18</f>
        <v>305030</v>
      </c>
      <c r="S18" s="14" t="n">
        <f aca="false">K18*$B$37</f>
        <v>138650</v>
      </c>
      <c r="T18" s="14" t="n">
        <f aca="false">R18-S18</f>
        <v>166380</v>
      </c>
      <c r="U18" s="13" t="n">
        <v>1550</v>
      </c>
      <c r="V18" s="14" t="n">
        <f aca="false">E18*U18</f>
        <v>914500</v>
      </c>
      <c r="W18" s="14" t="n">
        <f aca="false">K18*$B$38</f>
        <v>221840</v>
      </c>
      <c r="X18" s="14" t="n">
        <f aca="false">V18+W18</f>
        <v>1136340</v>
      </c>
      <c r="Y18" s="14" t="n">
        <f aca="false">K18*$B$42</f>
        <v>55460</v>
      </c>
      <c r="Z18" s="14" t="n">
        <f aca="false">T18*(1-$B$39)-Y18</f>
        <v>69325</v>
      </c>
      <c r="AA18" s="17" t="n">
        <f aca="false">-X18+Z18*(1-((1+$B$41)/(1+$B$40))^$B$43)/($B$40-$B$41)+W18/(1+$B$40)^$B$43</f>
        <v>-420218.097263618</v>
      </c>
      <c r="AB18" s="15" t="n">
        <f aca="false">Z18/X18</f>
        <v>0.0610072689511942</v>
      </c>
      <c r="AC18" s="18" t="str">
        <f aca="false">IF(AA18&gt;=0.05*X18,"Value-creating",IF(AA18&lt;=-0.05*X18,"Value-destroying","Marginal"))</f>
        <v>Value-destroying</v>
      </c>
      <c r="AD18" s="19" t="str">
        <f aca="false" t="array" ref="AD18:AD18">_xlfn.IFS(H18&lt;=$B$28,"Keep (maturing)",AND(AC18="Value-destroying",M18&lt;$B$30),"Close / Relocate",AC18="Value-destroying","Turnaround / review",I18&gt;$B$29,"Refurbish",AND(AC18="Value-creating",AB18&gt;=$B$31,D18="Compact"),"Expand format",TRUE(),"Keep")</f>
        <v>Keep (maturing)</v>
      </c>
    </row>
    <row r="19" customFormat="false" ht="15" hidden="false" customHeight="true" outlineLevel="0" collapsed="false">
      <c r="A19" s="9" t="s">
        <v>81</v>
      </c>
      <c r="B19" s="9" t="s">
        <v>82</v>
      </c>
      <c r="C19" s="9" t="s">
        <v>83</v>
      </c>
      <c r="D19" s="9" t="s">
        <v>43</v>
      </c>
      <c r="E19" s="10" t="n">
        <v>600</v>
      </c>
      <c r="F19" s="11" t="n">
        <v>2012</v>
      </c>
      <c r="G19" s="11" t="n">
        <v>2018</v>
      </c>
      <c r="H19" s="12" t="n">
        <f aca="false">$B$2-F19</f>
        <v>14</v>
      </c>
      <c r="I19" s="12" t="n">
        <f aca="false">$B$2-G19</f>
        <v>8</v>
      </c>
      <c r="J19" s="13" t="n">
        <v>4800</v>
      </c>
      <c r="K19" s="14" t="n">
        <f aca="false">E19*J19</f>
        <v>2880000</v>
      </c>
      <c r="L19" s="13" t="n">
        <v>2850000</v>
      </c>
      <c r="M19" s="15" t="n">
        <f aca="false">K19/L19-1</f>
        <v>0.0105263157894737</v>
      </c>
      <c r="N19" s="16" t="n">
        <v>0.22</v>
      </c>
      <c r="O19" s="13" t="n">
        <v>52</v>
      </c>
      <c r="P19" s="12" t="n">
        <f aca="false">(K19/O19)/N19</f>
        <v>251748.251748252</v>
      </c>
      <c r="Q19" s="16" t="n">
        <v>0.12</v>
      </c>
      <c r="R19" s="14" t="n">
        <f aca="false">K19*Q19</f>
        <v>345600</v>
      </c>
      <c r="S19" s="14" t="n">
        <f aca="false">K19*$B$37</f>
        <v>144000</v>
      </c>
      <c r="T19" s="14" t="n">
        <f aca="false">R19-S19</f>
        <v>201600</v>
      </c>
      <c r="U19" s="13" t="n">
        <v>1500</v>
      </c>
      <c r="V19" s="14" t="n">
        <f aca="false">E19*U19</f>
        <v>900000</v>
      </c>
      <c r="W19" s="14" t="n">
        <f aca="false">K19*$B$38</f>
        <v>230400</v>
      </c>
      <c r="X19" s="14" t="n">
        <f aca="false">V19+W19</f>
        <v>1130400</v>
      </c>
      <c r="Y19" s="14" t="n">
        <f aca="false">K19*$B$42</f>
        <v>57600</v>
      </c>
      <c r="Z19" s="14" t="n">
        <f aca="false">T19*(1-$B$39)-Y19</f>
        <v>93600</v>
      </c>
      <c r="AA19" s="17" t="n">
        <f aca="false">-X19+Z19*(1-((1+$B$41)/(1+$B$40))^$B$43)/($B$40-$B$41)+W19/(1+$B$40)^$B$43</f>
        <v>-185308.726320876</v>
      </c>
      <c r="AB19" s="15" t="n">
        <f aca="false">Z19/X19</f>
        <v>0.0828025477707006</v>
      </c>
      <c r="AC19" s="18" t="str">
        <f aca="false">IF(AA19&gt;=0.05*X19,"Value-creating",IF(AA19&lt;=-0.05*X19,"Value-destroying","Marginal"))</f>
        <v>Value-destroying</v>
      </c>
      <c r="AD19" s="19" t="str">
        <f aca="false" t="array" ref="AD19:AD19">_xlfn.IFS(H19&lt;=$B$28,"Keep (maturing)",AND(AC19="Value-destroying",M19&lt;$B$30),"Close / Relocate",AC19="Value-destroying","Turnaround / review",I19&gt;$B$29,"Refurbish",AND(AC19="Value-creating",AB19&gt;=$B$31,D19="Compact"),"Expand format",TRUE(),"Keep")</f>
        <v>Turnaround / review</v>
      </c>
    </row>
    <row r="20" customFormat="false" ht="15" hidden="false" customHeight="true" outlineLevel="0" collapsed="false">
      <c r="A20" s="9" t="s">
        <v>84</v>
      </c>
      <c r="B20" s="9" t="s">
        <v>85</v>
      </c>
      <c r="C20" s="9" t="s">
        <v>86</v>
      </c>
      <c r="D20" s="9" t="s">
        <v>43</v>
      </c>
      <c r="E20" s="10" t="n">
        <v>1250</v>
      </c>
      <c r="F20" s="11" t="n">
        <v>2009</v>
      </c>
      <c r="G20" s="11" t="n">
        <v>2013</v>
      </c>
      <c r="H20" s="12" t="n">
        <f aca="false">$B$2-F20</f>
        <v>17</v>
      </c>
      <c r="I20" s="12" t="n">
        <f aca="false">$B$2-G20</f>
        <v>13</v>
      </c>
      <c r="J20" s="13" t="n">
        <v>2900</v>
      </c>
      <c r="K20" s="14" t="n">
        <f aca="false">E20*J20</f>
        <v>3625000</v>
      </c>
      <c r="L20" s="13" t="n">
        <v>3750000</v>
      </c>
      <c r="M20" s="15" t="n">
        <f aca="false">K20/L20-1</f>
        <v>-0.0333333333333333</v>
      </c>
      <c r="N20" s="16" t="n">
        <v>0.17</v>
      </c>
      <c r="O20" s="13" t="n">
        <v>46</v>
      </c>
      <c r="P20" s="12" t="n">
        <f aca="false">(K20/O20)/N20</f>
        <v>463554.987212276</v>
      </c>
      <c r="Q20" s="16" t="n">
        <v>0.08</v>
      </c>
      <c r="R20" s="14" t="n">
        <f aca="false">K20*Q20</f>
        <v>290000</v>
      </c>
      <c r="S20" s="14" t="n">
        <f aca="false">K20*$B$37</f>
        <v>181250</v>
      </c>
      <c r="T20" s="14" t="n">
        <f aca="false">R20-S20</f>
        <v>108750</v>
      </c>
      <c r="U20" s="13" t="n">
        <v>1750</v>
      </c>
      <c r="V20" s="14" t="n">
        <f aca="false">E20*U20</f>
        <v>2187500</v>
      </c>
      <c r="W20" s="14" t="n">
        <f aca="false">K20*$B$38</f>
        <v>290000</v>
      </c>
      <c r="X20" s="14" t="n">
        <f aca="false">V20+W20</f>
        <v>2477500</v>
      </c>
      <c r="Y20" s="14" t="n">
        <f aca="false">K20*$B$42</f>
        <v>72500</v>
      </c>
      <c r="Z20" s="14" t="n">
        <f aca="false">T20*(1-$B$39)-Y20</f>
        <v>9062.5</v>
      </c>
      <c r="AA20" s="17" t="n">
        <f aca="false">-X20+Z20*(1-((1+$B$41)/(1+$B$40))^$B$43)/($B$40-$B$41)+W20/(1+$B$40)^$B$43</f>
        <v>-2301606.98902412</v>
      </c>
      <c r="AB20" s="15" t="n">
        <f aca="false">Z20/X20</f>
        <v>0.00365792129162462</v>
      </c>
      <c r="AC20" s="18" t="str">
        <f aca="false">IF(AA20&gt;=0.05*X20,"Value-creating",IF(AA20&lt;=-0.05*X20,"Value-destroying","Marginal"))</f>
        <v>Value-destroying</v>
      </c>
      <c r="AD20" s="19" t="str">
        <f aca="false" t="array" ref="AD20:AD20">_xlfn.IFS(H20&lt;=$B$28,"Keep (maturing)",AND(AC20="Value-destroying",M20&lt;$B$30),"Close / Relocate",AC20="Value-destroying","Turnaround / review",I20&gt;$B$29,"Refurbish",AND(AC20="Value-creating",AB20&gt;=$B$31,D20="Compact"),"Expand format",TRUE(),"Keep")</f>
        <v>Close / Relocate</v>
      </c>
    </row>
    <row r="21" customFormat="false" ht="15" hidden="false" customHeight="true" outlineLevel="0" collapsed="false">
      <c r="A21" s="9" t="s">
        <v>87</v>
      </c>
      <c r="B21" s="9" t="s">
        <v>88</v>
      </c>
      <c r="C21" s="9" t="s">
        <v>89</v>
      </c>
      <c r="D21" s="9" t="s">
        <v>54</v>
      </c>
      <c r="E21" s="10" t="n">
        <v>260</v>
      </c>
      <c r="F21" s="11" t="n">
        <v>2021</v>
      </c>
      <c r="G21" s="11" t="n">
        <v>2021</v>
      </c>
      <c r="H21" s="12" t="n">
        <f aca="false">$B$2-F21</f>
        <v>5</v>
      </c>
      <c r="I21" s="12" t="n">
        <f aca="false">$B$2-G21</f>
        <v>5</v>
      </c>
      <c r="J21" s="13" t="n">
        <v>5000</v>
      </c>
      <c r="K21" s="14" t="n">
        <f aca="false">E21*J21</f>
        <v>1300000</v>
      </c>
      <c r="L21" s="13" t="n">
        <v>1260000</v>
      </c>
      <c r="M21" s="15" t="n">
        <f aca="false">K21/L21-1</f>
        <v>0.0317460317460319</v>
      </c>
      <c r="N21" s="16" t="n">
        <v>0.24</v>
      </c>
      <c r="O21" s="13" t="n">
        <v>49</v>
      </c>
      <c r="P21" s="12" t="n">
        <f aca="false">(K21/O21)/N21</f>
        <v>110544.217687075</v>
      </c>
      <c r="Q21" s="16" t="n">
        <v>0.12</v>
      </c>
      <c r="R21" s="14" t="n">
        <f aca="false">K21*Q21</f>
        <v>156000</v>
      </c>
      <c r="S21" s="14" t="n">
        <f aca="false">K21*$B$37</f>
        <v>65000</v>
      </c>
      <c r="T21" s="14" t="n">
        <f aca="false">R21-S21</f>
        <v>91000</v>
      </c>
      <c r="U21" s="13" t="n">
        <v>1250</v>
      </c>
      <c r="V21" s="14" t="n">
        <f aca="false">E21*U21</f>
        <v>325000</v>
      </c>
      <c r="W21" s="14" t="n">
        <f aca="false">K21*$B$38</f>
        <v>104000</v>
      </c>
      <c r="X21" s="14" t="n">
        <f aca="false">V21+W21</f>
        <v>429000</v>
      </c>
      <c r="Y21" s="14" t="n">
        <f aca="false">K21*$B$42</f>
        <v>26000</v>
      </c>
      <c r="Z21" s="14" t="n">
        <f aca="false">T21*(1-$B$39)-Y21</f>
        <v>42250</v>
      </c>
      <c r="AA21" s="17" t="n">
        <f aca="false">-X21+Z21*(1-((1+$B$41)/(1+$B$40))^$B$43)/($B$40-$B$41)+W21/(1+$B$40)^$B$43</f>
        <v>-2396.30007539558</v>
      </c>
      <c r="AB21" s="15" t="n">
        <f aca="false">Z21/X21</f>
        <v>0.0984848484848485</v>
      </c>
      <c r="AC21" s="18" t="str">
        <f aca="false">IF(AA21&gt;=0.05*X21,"Value-creating",IF(AA21&lt;=-0.05*X21,"Value-destroying","Marginal"))</f>
        <v>Marginal</v>
      </c>
      <c r="AD21" s="19" t="str">
        <f aca="false" t="array" ref="AD21:AD21">_xlfn.IFS(H21&lt;=$B$28,"Keep (maturing)",AND(AC21="Value-destroying",M21&lt;$B$30),"Close / Relocate",AC21="Value-destroying","Turnaround / review",I21&gt;$B$29,"Refurbish",AND(AC21="Value-creating",AB21&gt;=$B$31,D21="Compact"),"Expand format",TRUE(),"Keep")</f>
        <v>Keep</v>
      </c>
    </row>
    <row r="22" customFormat="false" ht="15" hidden="false" customHeight="true" outlineLevel="0" collapsed="false">
      <c r="A22" s="9" t="s">
        <v>90</v>
      </c>
      <c r="B22" s="9" t="s">
        <v>91</v>
      </c>
      <c r="C22" s="9" t="s">
        <v>92</v>
      </c>
      <c r="D22" s="9" t="s">
        <v>54</v>
      </c>
      <c r="E22" s="10" t="n">
        <v>270</v>
      </c>
      <c r="F22" s="11" t="n">
        <v>2013</v>
      </c>
      <c r="G22" s="11" t="n">
        <v>2018</v>
      </c>
      <c r="H22" s="12" t="n">
        <f aca="false">$B$2-F22</f>
        <v>13</v>
      </c>
      <c r="I22" s="12" t="n">
        <f aca="false">$B$2-G22</f>
        <v>8</v>
      </c>
      <c r="J22" s="13" t="n">
        <v>3400</v>
      </c>
      <c r="K22" s="14" t="n">
        <f aca="false">E22*J22</f>
        <v>918000</v>
      </c>
      <c r="L22" s="13" t="n">
        <v>950000</v>
      </c>
      <c r="M22" s="15" t="n">
        <f aca="false">K22/L22-1</f>
        <v>-0.0336842105263158</v>
      </c>
      <c r="N22" s="16" t="n">
        <v>0.18</v>
      </c>
      <c r="O22" s="13" t="n">
        <v>44</v>
      </c>
      <c r="P22" s="12" t="n">
        <f aca="false">(K22/O22)/N22</f>
        <v>115909.090909091</v>
      </c>
      <c r="Q22" s="16" t="n">
        <v>0.09</v>
      </c>
      <c r="R22" s="14" t="n">
        <f aca="false">K22*Q22</f>
        <v>82620</v>
      </c>
      <c r="S22" s="14" t="n">
        <f aca="false">K22*$B$37</f>
        <v>45900</v>
      </c>
      <c r="T22" s="14" t="n">
        <f aca="false">R22-S22</f>
        <v>36720</v>
      </c>
      <c r="U22" s="13" t="n">
        <v>1200</v>
      </c>
      <c r="V22" s="14" t="n">
        <f aca="false">E22*U22</f>
        <v>324000</v>
      </c>
      <c r="W22" s="14" t="n">
        <f aca="false">K22*$B$38</f>
        <v>73440</v>
      </c>
      <c r="X22" s="14" t="n">
        <f aca="false">V22+W22</f>
        <v>397440</v>
      </c>
      <c r="Y22" s="14" t="n">
        <f aca="false">K22*$B$42</f>
        <v>18360</v>
      </c>
      <c r="Z22" s="14" t="n">
        <f aca="false">T22*(1-$B$39)-Y22</f>
        <v>9180</v>
      </c>
      <c r="AA22" s="17" t="n">
        <f aca="false">-X22+Z22*(1-((1+$B$41)/(1+$B$40))^$B$43)/($B$40-$B$41)+W22/(1+$B$40)^$B$43</f>
        <v>-288720.497595759</v>
      </c>
      <c r="AB22" s="15" t="n">
        <f aca="false">Z22/X22</f>
        <v>0.0230978260869565</v>
      </c>
      <c r="AC22" s="18" t="str">
        <f aca="false">IF(AA22&gt;=0.05*X22,"Value-creating",IF(AA22&lt;=-0.05*X22,"Value-destroying","Marginal"))</f>
        <v>Value-destroying</v>
      </c>
      <c r="AD22" s="19" t="str">
        <f aca="false" t="array" ref="AD22:AD22">_xlfn.IFS(H22&lt;=$B$28,"Keep (maturing)",AND(AC22="Value-destroying",M22&lt;$B$30),"Close / Relocate",AC22="Value-destroying","Turnaround / review",I22&gt;$B$29,"Refurbish",AND(AC22="Value-creating",AB22&gt;=$B$31,D22="Compact"),"Expand format",TRUE(),"Keep")</f>
        <v>Close / Relocate</v>
      </c>
    </row>
    <row r="23" customFormat="false" ht="15" hidden="false" customHeight="true" outlineLevel="0" collapsed="false">
      <c r="A23" s="9" t="s">
        <v>93</v>
      </c>
      <c r="B23" s="9" t="s">
        <v>94</v>
      </c>
      <c r="C23" s="9" t="s">
        <v>95</v>
      </c>
      <c r="D23" s="9" t="s">
        <v>54</v>
      </c>
      <c r="E23" s="10" t="n">
        <v>250</v>
      </c>
      <c r="F23" s="11" t="n">
        <v>2015</v>
      </c>
      <c r="G23" s="11" t="n">
        <v>2021</v>
      </c>
      <c r="H23" s="12" t="n">
        <f aca="false">$B$2-F23</f>
        <v>11</v>
      </c>
      <c r="I23" s="12" t="n">
        <f aca="false">$B$2-G23</f>
        <v>5</v>
      </c>
      <c r="J23" s="13" t="n">
        <v>4800</v>
      </c>
      <c r="K23" s="14" t="n">
        <f aca="false">E23*J23</f>
        <v>1200000</v>
      </c>
      <c r="L23" s="13" t="n">
        <v>1180000</v>
      </c>
      <c r="M23" s="15" t="n">
        <f aca="false">K23/L23-1</f>
        <v>0.0169491525423728</v>
      </c>
      <c r="N23" s="16" t="n">
        <v>0.24</v>
      </c>
      <c r="O23" s="13" t="n">
        <v>48</v>
      </c>
      <c r="P23" s="12" t="n">
        <f aca="false">(K23/O23)/N23</f>
        <v>104166.666666667</v>
      </c>
      <c r="Q23" s="16" t="n">
        <v>0.12</v>
      </c>
      <c r="R23" s="14" t="n">
        <f aca="false">K23*Q23</f>
        <v>144000</v>
      </c>
      <c r="S23" s="14" t="n">
        <f aca="false">K23*$B$37</f>
        <v>60000</v>
      </c>
      <c r="T23" s="14" t="n">
        <f aca="false">R23-S23</f>
        <v>84000</v>
      </c>
      <c r="U23" s="13" t="n">
        <v>1250</v>
      </c>
      <c r="V23" s="14" t="n">
        <f aca="false">E23*U23</f>
        <v>312500</v>
      </c>
      <c r="W23" s="14" t="n">
        <f aca="false">K23*$B$38</f>
        <v>96000</v>
      </c>
      <c r="X23" s="14" t="n">
        <f aca="false">V23+W23</f>
        <v>408500</v>
      </c>
      <c r="Y23" s="14" t="n">
        <f aca="false">K23*$B$42</f>
        <v>24000</v>
      </c>
      <c r="Z23" s="14" t="n">
        <f aca="false">T23*(1-$B$39)-Y23</f>
        <v>39000</v>
      </c>
      <c r="AA23" s="17" t="n">
        <f aca="false">-X23+Z23*(1-((1+$B$41)/(1+$B$40))^$B$43)/($B$40-$B$41)+W23/(1+$B$40)^$B$43</f>
        <v>-14711.9693003651</v>
      </c>
      <c r="AB23" s="15" t="n">
        <f aca="false">Z23/X23</f>
        <v>0.0954712362301102</v>
      </c>
      <c r="AC23" s="18" t="str">
        <f aca="false">IF(AA23&gt;=0.05*X23,"Value-creating",IF(AA23&lt;=-0.05*X23,"Value-destroying","Marginal"))</f>
        <v>Marginal</v>
      </c>
      <c r="AD23" s="19" t="str">
        <f aca="false" t="array" ref="AD23:AD23">_xlfn.IFS(H23&lt;=$B$28,"Keep (maturing)",AND(AC23="Value-destroying",M23&lt;$B$30),"Close / Relocate",AC23="Value-destroying","Turnaround / review",I23&gt;$B$29,"Refurbish",AND(AC23="Value-creating",AB23&gt;=$B$31,D23="Compact"),"Expand format",TRUE(),"Keep")</f>
        <v>Keep</v>
      </c>
    </row>
    <row r="24" customFormat="false" ht="15" hidden="false" customHeight="true" outlineLevel="0" collapsed="false">
      <c r="A24" s="9" t="s">
        <v>96</v>
      </c>
      <c r="B24" s="9" t="s">
        <v>97</v>
      </c>
      <c r="C24" s="9" t="s">
        <v>98</v>
      </c>
      <c r="D24" s="9" t="s">
        <v>43</v>
      </c>
      <c r="E24" s="10" t="n">
        <v>610</v>
      </c>
      <c r="F24" s="11" t="n">
        <v>2023</v>
      </c>
      <c r="G24" s="11" t="n">
        <v>2023</v>
      </c>
      <c r="H24" s="12" t="n">
        <f aca="false">$B$2-F24</f>
        <v>3</v>
      </c>
      <c r="I24" s="12" t="n">
        <f aca="false">$B$2-G24</f>
        <v>3</v>
      </c>
      <c r="J24" s="13" t="n">
        <v>4500</v>
      </c>
      <c r="K24" s="14" t="n">
        <f aca="false">E24*J24</f>
        <v>2745000</v>
      </c>
      <c r="L24" s="13" t="n">
        <v>2480000</v>
      </c>
      <c r="M24" s="15" t="n">
        <f aca="false">K24/L24-1</f>
        <v>0.106854838709677</v>
      </c>
      <c r="N24" s="16" t="n">
        <v>0.21</v>
      </c>
      <c r="O24" s="13" t="n">
        <v>50</v>
      </c>
      <c r="P24" s="12" t="n">
        <f aca="false">(K24/O24)/N24</f>
        <v>261428.571428571</v>
      </c>
      <c r="Q24" s="16" t="n">
        <v>0.11</v>
      </c>
      <c r="R24" s="14" t="n">
        <f aca="false">K24*Q24</f>
        <v>301950</v>
      </c>
      <c r="S24" s="14" t="n">
        <f aca="false">K24*$B$37</f>
        <v>137250</v>
      </c>
      <c r="T24" s="14" t="n">
        <f aca="false">R24-S24</f>
        <v>164700</v>
      </c>
      <c r="U24" s="13" t="n">
        <v>1550</v>
      </c>
      <c r="V24" s="14" t="n">
        <f aca="false">E24*U24</f>
        <v>945500</v>
      </c>
      <c r="W24" s="14" t="n">
        <f aca="false">K24*$B$38</f>
        <v>219600</v>
      </c>
      <c r="X24" s="14" t="n">
        <f aca="false">V24+W24</f>
        <v>1165100</v>
      </c>
      <c r="Y24" s="14" t="n">
        <f aca="false">K24*$B$42</f>
        <v>54900</v>
      </c>
      <c r="Z24" s="14" t="n">
        <f aca="false">T24*(1-$B$39)-Y24</f>
        <v>68625</v>
      </c>
      <c r="AA24" s="17" t="n">
        <f aca="false">-X24+Z24*(1-((1+$B$41)/(1+$B$40))^$B$43)/($B$40-$B$41)+W24/(1+$B$40)^$B$43</f>
        <v>-456209.043270333</v>
      </c>
      <c r="AB24" s="15" t="n">
        <f aca="false">Z24/X24</f>
        <v>0.0589005235602094</v>
      </c>
      <c r="AC24" s="18" t="str">
        <f aca="false">IF(AA24&gt;=0.05*X24,"Value-creating",IF(AA24&lt;=-0.05*X24,"Value-destroying","Marginal"))</f>
        <v>Value-destroying</v>
      </c>
      <c r="AD24" s="19" t="str">
        <f aca="false" t="array" ref="AD24:AD24">_xlfn.IFS(H24&lt;=$B$28,"Keep (maturing)",AND(AC24="Value-destroying",M24&lt;$B$30),"Close / Relocate",AC24="Value-destroying","Turnaround / review",I24&gt;$B$29,"Refurbish",AND(AC24="Value-creating",AB24&gt;=$B$31,D24="Compact"),"Expand format",TRUE(),"Keep")</f>
        <v>Keep (maturing)</v>
      </c>
    </row>
    <row r="25" customFormat="false" ht="15" hidden="false" customHeight="true" outlineLevel="0" collapsed="false">
      <c r="D25" s="20" t="s">
        <v>101</v>
      </c>
      <c r="E25" s="21" t="n">
        <f aca="false">SUM(E5:E24)</f>
        <v>11730</v>
      </c>
      <c r="F25" s="20"/>
      <c r="G25" s="20"/>
      <c r="H25" s="20"/>
      <c r="I25" s="20"/>
      <c r="J25" s="22" t="n">
        <f aca="false">K25/E25</f>
        <v>5232.82182438193</v>
      </c>
      <c r="K25" s="22" t="n">
        <f aca="false">SUM(K5:K24)</f>
        <v>61381000</v>
      </c>
      <c r="L25" s="20"/>
      <c r="M25" s="20"/>
      <c r="N25" s="20"/>
      <c r="O25" s="20"/>
      <c r="P25" s="23" t="n">
        <f aca="false">SUM(P5:P24)</f>
        <v>4967749.95862884</v>
      </c>
      <c r="Q25" s="20"/>
      <c r="R25" s="22" t="n">
        <f aca="false">SUM(R5:R24)</f>
        <v>7671960</v>
      </c>
      <c r="S25" s="22" t="n">
        <f aca="false">SUM(S5:S24)</f>
        <v>3069050</v>
      </c>
      <c r="T25" s="22" t="n">
        <f aca="false">SUM(T5:T24)</f>
        <v>4602910</v>
      </c>
      <c r="U25" s="20"/>
      <c r="V25" s="22" t="n">
        <f aca="false">SUM(V5:V24)</f>
        <v>19257000</v>
      </c>
      <c r="W25" s="22" t="n">
        <f aca="false">SUM(W5:W24)</f>
        <v>4910480</v>
      </c>
      <c r="X25" s="22" t="n">
        <f aca="false">SUM(X5:X24)</f>
        <v>24167480</v>
      </c>
      <c r="Y25" s="24" t="n">
        <f aca="false">SUM(Y5:Y24)</f>
        <v>1227620</v>
      </c>
      <c r="Z25" s="24" t="n">
        <f aca="false">SUM(Z5:Z24)</f>
        <v>2224562.5</v>
      </c>
      <c r="AA25" s="25" t="n">
        <f aca="false">SUM(AA5:AA24)</f>
        <v>-1884012.47633881</v>
      </c>
      <c r="AB25" s="26" t="n">
        <f aca="false">Z25/X25</f>
        <v>0.0920477641855916</v>
      </c>
      <c r="AC25" s="20"/>
      <c r="AD25" s="20"/>
    </row>
    <row r="27" customFormat="false" ht="15" hidden="false" customHeight="true" outlineLevel="0" collapsed="false">
      <c r="A27" s="27" t="s">
        <v>102</v>
      </c>
    </row>
    <row r="28" customFormat="false" ht="15" hidden="false" customHeight="true" outlineLevel="0" collapsed="false">
      <c r="A28" s="6" t="s">
        <v>103</v>
      </c>
      <c r="B28" s="7" t="n">
        <v>3</v>
      </c>
    </row>
    <row r="29" customFormat="false" ht="15" hidden="false" customHeight="true" outlineLevel="0" collapsed="false">
      <c r="A29" s="6" t="s">
        <v>104</v>
      </c>
      <c r="B29" s="7" t="n">
        <v>10</v>
      </c>
    </row>
    <row r="30" customFormat="false" ht="15" hidden="false" customHeight="true" outlineLevel="0" collapsed="false">
      <c r="A30" s="6" t="s">
        <v>105</v>
      </c>
      <c r="B30" s="28" t="n">
        <v>-0.03</v>
      </c>
    </row>
    <row r="31" customFormat="false" ht="15" hidden="false" customHeight="true" outlineLevel="0" collapsed="false">
      <c r="A31" s="6" t="s">
        <v>106</v>
      </c>
      <c r="B31" s="28" t="n">
        <v>0.15</v>
      </c>
    </row>
    <row r="32" customFormat="false" ht="15" hidden="false" customHeight="true" outlineLevel="0" collapsed="false">
      <c r="A32" s="6"/>
      <c r="B32" s="28"/>
    </row>
    <row r="33" customFormat="false" ht="15" hidden="false" customHeight="true" outlineLevel="0" collapsed="false">
      <c r="A33" s="6"/>
      <c r="B33" s="28"/>
    </row>
    <row r="34" customFormat="false" ht="15" hidden="false" customHeight="true" outlineLevel="0" collapsed="false">
      <c r="A34" s="6"/>
      <c r="B34" s="7"/>
    </row>
    <row r="36" customFormat="false" ht="15" hidden="false" customHeight="true" outlineLevel="0" collapsed="false">
      <c r="A36" s="27" t="s">
        <v>107</v>
      </c>
    </row>
    <row r="37" customFormat="false" ht="15" hidden="false" customHeight="true" outlineLevel="0" collapsed="false">
      <c r="A37" s="6" t="s">
        <v>108</v>
      </c>
      <c r="B37" s="28" t="n">
        <v>0.05</v>
      </c>
    </row>
    <row r="38" customFormat="false" ht="15" hidden="false" customHeight="true" outlineLevel="0" collapsed="false">
      <c r="A38" s="6" t="s">
        <v>109</v>
      </c>
      <c r="B38" s="28" t="n">
        <v>0.08</v>
      </c>
    </row>
    <row r="39" customFormat="false" ht="15" hidden="false" customHeight="true" outlineLevel="0" collapsed="false">
      <c r="A39" s="6" t="s">
        <v>110</v>
      </c>
      <c r="B39" s="28" t="n">
        <v>0.25</v>
      </c>
    </row>
    <row r="40" customFormat="false" ht="15" hidden="false" customHeight="true" outlineLevel="0" collapsed="false">
      <c r="A40" s="6" t="s">
        <v>111</v>
      </c>
      <c r="B40" s="28" t="n">
        <v>0.08</v>
      </c>
    </row>
    <row r="41" customFormat="false" ht="15" hidden="false" customHeight="true" outlineLevel="0" collapsed="false">
      <c r="A41" s="6" t="s">
        <v>112</v>
      </c>
      <c r="B41" s="28" t="n">
        <v>0.015</v>
      </c>
    </row>
    <row r="42" customFormat="false" ht="14.25" hidden="false" customHeight="true" outlineLevel="0" collapsed="false">
      <c r="A42" s="6" t="s">
        <v>113</v>
      </c>
      <c r="B42" s="28" t="n">
        <v>0.02</v>
      </c>
    </row>
    <row r="43" customFormat="false" ht="14.25" hidden="false" customHeight="true" outlineLevel="0" collapsed="false">
      <c r="A43" s="6" t="s">
        <v>114</v>
      </c>
      <c r="B43" s="7" t="n">
        <v>15</v>
      </c>
    </row>
  </sheetData>
  <conditionalFormatting sqref="AB5:AB24">
    <cfRule type="cellIs" priority="2" operator="equal" aboveAverage="0" equalAverage="0" bottom="0" percent="0" rank="0" text="" dxfId="0">
      <formula>"Paid back"</formula>
    </cfRule>
    <cfRule type="cellIs" priority="3" operator="equal" aboveAverage="0" equalAverage="0" bottom="0" percent="0" rank="0" text="" dxfId="1">
      <formula>"Recovering"</formula>
    </cfRule>
  </conditionalFormatting>
  <conditionalFormatting sqref="N5:N24">
    <cfRule type="cellIs" priority="4" operator="equal" aboveAverage="0" equalAverage="0" bottom="0" percent="0" rank="0" text="" dxfId="0">
      <formula>"Value-creating"</formula>
    </cfRule>
    <cfRule type="cellIs" priority="5" operator="equal" aboveAverage="0" equalAverage="0" bottom="0" percent="0" rank="0" text="" dxfId="1">
      <formula>"Marginal"</formula>
    </cfRule>
    <cfRule type="cellIs" priority="6" operator="equal" aboveAverage="0" equalAverage="0" bottom="0" percent="0" rank="0" text="" dxfId="2">
      <formula>"Value-destroying"</formula>
    </cfRule>
  </conditionalFormatting>
  <conditionalFormatting sqref="AC5:AC24">
    <cfRule type="containsText" priority="7" operator="containsText" aboveAverage="0" equalAverage="0" bottom="0" percent="0" rank="0" text="Value-creating" dxfId="3">
      <formula>NOT(ISERROR(SEARCH("Value-creating",AC5)))</formula>
    </cfRule>
    <cfRule type="containsText" priority="8" operator="containsText" aboveAverage="0" equalAverage="0" bottom="0" percent="0" rank="0" text="Value-destroying" dxfId="4">
      <formula>NOT(ISERROR(SEARCH("Value-destroying",AC5)))</formula>
    </cfRule>
    <cfRule type="containsText" priority="9" operator="containsText" aboveAverage="0" equalAverage="0" bottom="0" percent="0" rank="0" text="Marginal" dxfId="5">
      <formula>NOT(ISERROR(SEARCH("Marginal",AC5)))</formula>
    </cfRule>
  </conditionalFormatting>
  <conditionalFormatting sqref="AD5:AD24">
    <cfRule type="containsText" priority="10" operator="containsText" aboveAverage="0" equalAverage="0" bottom="0" percent="0" rank="0" text="Close" dxfId="4">
      <formula>NOT(ISERROR(SEARCH("Close",AD5)))</formula>
    </cfRule>
    <cfRule type="containsText" priority="11" operator="containsText" aboveAverage="0" equalAverage="0" bottom="0" percent="0" rank="0" text="Turnaround" dxfId="6">
      <formula>NOT(ISERROR(SEARCH("Turnaround",AD5)))</formula>
    </cfRule>
    <cfRule type="containsText" priority="12" operator="containsText" aboveAverage="0" equalAverage="0" bottom="0" percent="0" rank="0" text="Watch" dxfId="6">
      <formula>NOT(ISERROR(SEARCH("Watch",AD5)))</formula>
    </cfRule>
    <cfRule type="containsText" priority="13" operator="containsText" aboveAverage="0" equalAverage="0" bottom="0" percent="0" rank="0" text="Refurbish" dxfId="7">
      <formula>NOT(ISERROR(SEARCH("Refurbish",AD5)))</formula>
    </cfRule>
    <cfRule type="containsText" priority="14" operator="containsText" aboveAverage="0" equalAverage="0" bottom="0" percent="0" rank="0" text="Expand" dxfId="3">
      <formula>NOT(ISERROR(SEARCH("Expand",AD5)))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8"/>
  <sheetViews>
    <sheetView showFormulas="false" showGridLines="true" showRowColHeaders="true" showZeros="true" rightToLeft="false" tabSelected="false" showOutlineSymbols="true" defaultGridColor="true" view="normal" topLeftCell="A15" colorId="64" zoomScale="99" zoomScaleNormal="99" zoomScalePageLayoutView="100" workbookViewId="0">
      <selection pane="topLeft" activeCell="B37" activeCellId="0" sqref="B37"/>
    </sheetView>
  </sheetViews>
  <sheetFormatPr defaultColWidth="8.6328125" defaultRowHeight="14.25" zeroHeight="false" outlineLevelRow="0" outlineLevelCol="0"/>
  <cols>
    <col collapsed="false" customWidth="true" hidden="false" outlineLevel="0" max="1" min="1" style="4" width="56.27"/>
    <col collapsed="false" customWidth="true" hidden="false" outlineLevel="0" max="2" min="2" style="4" width="255.63"/>
  </cols>
  <sheetData>
    <row r="1" customFormat="false" ht="15.75" hidden="false" customHeight="true" outlineLevel="0" collapsed="false">
      <c r="A1" s="5" t="s">
        <v>115</v>
      </c>
    </row>
    <row r="3" customFormat="false" ht="15" hidden="false" customHeight="true" outlineLevel="0" collapsed="false">
      <c r="A3" s="29" t="s">
        <v>116</v>
      </c>
    </row>
    <row r="4" customFormat="false" ht="43.5" hidden="false" customHeight="true" outlineLevel="0" collapsed="false">
      <c r="B4" s="30" t="s">
        <v>117</v>
      </c>
    </row>
    <row r="6" customFormat="false" ht="15" hidden="false" customHeight="true" outlineLevel="0" collapsed="false">
      <c r="A6" s="29" t="s">
        <v>118</v>
      </c>
    </row>
    <row r="7" customFormat="false" ht="15" hidden="false" customHeight="true" outlineLevel="0" collapsed="false">
      <c r="A7" s="31" t="s">
        <v>0</v>
      </c>
      <c r="B7" s="32" t="s">
        <v>119</v>
      </c>
    </row>
    <row r="8" customFormat="false" ht="23.25" hidden="false" customHeight="true" outlineLevel="0" collapsed="false">
      <c r="A8" s="33" t="s">
        <v>1</v>
      </c>
      <c r="B8" s="30" t="s">
        <v>120</v>
      </c>
    </row>
    <row r="9" customFormat="false" ht="15" hidden="false" customHeight="true" outlineLevel="0" collapsed="false">
      <c r="A9" s="33" t="s">
        <v>2</v>
      </c>
      <c r="B9" s="30" t="s">
        <v>121</v>
      </c>
    </row>
    <row r="10" customFormat="false" ht="23.25" hidden="false" customHeight="true" outlineLevel="0" collapsed="false">
      <c r="A10" s="33" t="s">
        <v>3</v>
      </c>
      <c r="B10" s="30" t="s">
        <v>122</v>
      </c>
    </row>
    <row r="11" customFormat="false" ht="15" hidden="false" customHeight="true" outlineLevel="0" collapsed="false">
      <c r="A11" s="33" t="s">
        <v>4</v>
      </c>
      <c r="B11" s="30" t="s">
        <v>123</v>
      </c>
    </row>
    <row r="12" customFormat="false" ht="15" hidden="false" customHeight="true" outlineLevel="0" collapsed="false">
      <c r="A12" s="33" t="s">
        <v>5</v>
      </c>
      <c r="B12" s="30" t="s">
        <v>124</v>
      </c>
    </row>
    <row r="13" customFormat="false" ht="15" hidden="false" customHeight="true" outlineLevel="0" collapsed="false">
      <c r="A13" s="33" t="s">
        <v>6</v>
      </c>
      <c r="B13" s="30" t="s">
        <v>125</v>
      </c>
    </row>
    <row r="14" customFormat="false" ht="15" hidden="false" customHeight="true" outlineLevel="0" collapsed="false">
      <c r="A14" s="33" t="s">
        <v>7</v>
      </c>
      <c r="B14" s="30" t="s">
        <v>126</v>
      </c>
    </row>
    <row r="15" customFormat="false" ht="15" hidden="false" customHeight="true" outlineLevel="0" collapsed="false">
      <c r="A15" s="33" t="s">
        <v>8</v>
      </c>
      <c r="B15" s="30" t="s">
        <v>127</v>
      </c>
    </row>
    <row r="16" customFormat="false" ht="15" hidden="false" customHeight="true" outlineLevel="0" collapsed="false">
      <c r="A16" s="33" t="s">
        <v>128</v>
      </c>
      <c r="B16" s="30" t="s">
        <v>129</v>
      </c>
    </row>
    <row r="17" customFormat="false" ht="15" hidden="false" customHeight="true" outlineLevel="0" collapsed="false">
      <c r="A17" s="33" t="s">
        <v>130</v>
      </c>
      <c r="B17" s="30" t="s">
        <v>131</v>
      </c>
    </row>
    <row r="18" customFormat="false" ht="15" hidden="false" customHeight="true" outlineLevel="0" collapsed="false">
      <c r="A18" s="33" t="s">
        <v>132</v>
      </c>
      <c r="B18" s="30" t="s">
        <v>133</v>
      </c>
    </row>
    <row r="19" customFormat="false" ht="15" hidden="false" customHeight="true" outlineLevel="0" collapsed="false">
      <c r="A19" s="33" t="s">
        <v>12</v>
      </c>
      <c r="B19" s="30" t="s">
        <v>134</v>
      </c>
    </row>
    <row r="20" customFormat="false" ht="15" hidden="false" customHeight="true" outlineLevel="0" collapsed="false">
      <c r="A20" s="33" t="s">
        <v>13</v>
      </c>
      <c r="B20" s="30" t="s">
        <v>135</v>
      </c>
    </row>
    <row r="21" customFormat="false" ht="15" hidden="false" customHeight="true" outlineLevel="0" collapsed="false">
      <c r="A21" s="33" t="s">
        <v>136</v>
      </c>
      <c r="B21" s="30" t="s">
        <v>137</v>
      </c>
    </row>
    <row r="22" customFormat="false" ht="15" hidden="false" customHeight="true" outlineLevel="0" collapsed="false">
      <c r="A22" s="33" t="s">
        <v>15</v>
      </c>
      <c r="B22" s="30" t="s">
        <v>138</v>
      </c>
    </row>
    <row r="23" customFormat="false" ht="15" hidden="false" customHeight="true" outlineLevel="0" collapsed="false">
      <c r="A23" s="33" t="s">
        <v>16</v>
      </c>
      <c r="B23" s="30" t="s">
        <v>139</v>
      </c>
    </row>
    <row r="24" customFormat="false" ht="15" hidden="false" customHeight="true" outlineLevel="0" collapsed="false">
      <c r="A24" s="33" t="s">
        <v>140</v>
      </c>
      <c r="B24" s="30" t="s">
        <v>141</v>
      </c>
    </row>
    <row r="25" customFormat="false" ht="15" hidden="false" customHeight="true" outlineLevel="0" collapsed="false">
      <c r="A25" s="33" t="s">
        <v>142</v>
      </c>
      <c r="B25" s="30" t="s">
        <v>143</v>
      </c>
    </row>
    <row r="26" customFormat="false" ht="15" hidden="false" customHeight="true" outlineLevel="0" collapsed="false">
      <c r="A26" s="33" t="s">
        <v>144</v>
      </c>
      <c r="B26" s="30" t="s">
        <v>145</v>
      </c>
    </row>
    <row r="27" customFormat="false" ht="15" hidden="false" customHeight="true" outlineLevel="0" collapsed="false">
      <c r="A27" s="33" t="s">
        <v>146</v>
      </c>
      <c r="B27" s="30" t="s">
        <v>147</v>
      </c>
    </row>
    <row r="28" customFormat="false" ht="15" hidden="false" customHeight="true" outlineLevel="0" collapsed="false">
      <c r="A28" s="33" t="s">
        <v>148</v>
      </c>
      <c r="B28" s="30" t="s">
        <v>149</v>
      </c>
    </row>
    <row r="29" customFormat="false" ht="15" hidden="false" customHeight="true" outlineLevel="0" collapsed="false">
      <c r="A29" s="33" t="s">
        <v>150</v>
      </c>
      <c r="B29" s="30" t="s">
        <v>151</v>
      </c>
    </row>
    <row r="30" customFormat="false" ht="15" hidden="false" customHeight="true" outlineLevel="0" collapsed="false">
      <c r="A30" s="33" t="s">
        <v>152</v>
      </c>
      <c r="B30" s="30" t="s">
        <v>153</v>
      </c>
    </row>
    <row r="31" customFormat="false" ht="15" hidden="false" customHeight="true" outlineLevel="0" collapsed="false">
      <c r="A31" s="33" t="s">
        <v>154</v>
      </c>
      <c r="B31" s="30" t="s">
        <v>155</v>
      </c>
    </row>
    <row r="32" customFormat="false" ht="15" hidden="false" customHeight="true" outlineLevel="0" collapsed="false">
      <c r="A32" s="33" t="s">
        <v>156</v>
      </c>
      <c r="B32" s="30" t="s">
        <v>157</v>
      </c>
    </row>
    <row r="33" customFormat="false" ht="15" hidden="false" customHeight="true" outlineLevel="0" collapsed="false">
      <c r="A33" s="33" t="s">
        <v>158</v>
      </c>
      <c r="B33" s="30" t="s">
        <v>159</v>
      </c>
    </row>
    <row r="34" customFormat="false" ht="15" hidden="false" customHeight="true" outlineLevel="0" collapsed="false">
      <c r="A34" s="33" t="s">
        <v>27</v>
      </c>
      <c r="B34" s="30" t="s">
        <v>160</v>
      </c>
    </row>
    <row r="35" customFormat="false" ht="15" hidden="false" customHeight="true" outlineLevel="0" collapsed="false">
      <c r="A35" s="33" t="s">
        <v>161</v>
      </c>
      <c r="B35" s="30" t="s">
        <v>162</v>
      </c>
    </row>
    <row r="36" customFormat="false" ht="15" hidden="false" customHeight="true" outlineLevel="0" collapsed="false">
      <c r="A36" s="33" t="s">
        <v>29</v>
      </c>
      <c r="B36" s="30" t="s">
        <v>163</v>
      </c>
    </row>
    <row r="38" customFormat="false" ht="15" hidden="false" customHeight="true" outlineLevel="0" collapsed="false">
      <c r="A38" s="29" t="s">
        <v>164</v>
      </c>
    </row>
    <row r="39" customFormat="false" ht="23.25" hidden="false" customHeight="true" outlineLevel="0" collapsed="false">
      <c r="A39" s="33" t="s">
        <v>165</v>
      </c>
      <c r="B39" s="30" t="s">
        <v>166</v>
      </c>
    </row>
    <row r="40" customFormat="false" ht="23.25" hidden="false" customHeight="true" outlineLevel="0" collapsed="false">
      <c r="A40" s="33" t="s">
        <v>158</v>
      </c>
      <c r="B40" s="30" t="s">
        <v>167</v>
      </c>
    </row>
    <row r="41" customFormat="false" ht="34.5" hidden="false" customHeight="true" outlineLevel="0" collapsed="false">
      <c r="A41" s="33" t="s">
        <v>27</v>
      </c>
      <c r="B41" s="30" t="s">
        <v>168</v>
      </c>
    </row>
    <row r="42" customFormat="false" ht="34.5" hidden="false" customHeight="true" outlineLevel="0" collapsed="false">
      <c r="A42" s="33" t="s">
        <v>169</v>
      </c>
      <c r="B42" s="30" t="s">
        <v>170</v>
      </c>
    </row>
    <row r="44" customFormat="false" ht="15" hidden="false" customHeight="true" outlineLevel="0" collapsed="false">
      <c r="A44" s="29" t="s">
        <v>171</v>
      </c>
    </row>
    <row r="45" customFormat="false" ht="15" hidden="false" customHeight="true" outlineLevel="0" collapsed="false">
      <c r="A45" s="33" t="s">
        <v>172</v>
      </c>
      <c r="B45" s="30" t="s">
        <v>173</v>
      </c>
    </row>
    <row r="46" customFormat="false" ht="15" hidden="false" customHeight="true" outlineLevel="0" collapsed="false">
      <c r="A46" s="33" t="s">
        <v>174</v>
      </c>
      <c r="B46" s="30" t="s">
        <v>175</v>
      </c>
    </row>
    <row r="47" customFormat="false" ht="15" hidden="false" customHeight="true" outlineLevel="0" collapsed="false">
      <c r="A47" s="33" t="s">
        <v>176</v>
      </c>
      <c r="B47" s="30" t="s">
        <v>177</v>
      </c>
    </row>
    <row r="48" customFormat="false" ht="15" hidden="false" customHeight="true" outlineLevel="0" collapsed="false">
      <c r="A48" s="33" t="s">
        <v>178</v>
      </c>
      <c r="B48" s="30" t="s">
        <v>179</v>
      </c>
    </row>
    <row r="49" customFormat="false" ht="23.25" hidden="false" customHeight="true" outlineLevel="0" collapsed="false">
      <c r="A49" s="33" t="s">
        <v>180</v>
      </c>
      <c r="B49" s="30" t="s">
        <v>181</v>
      </c>
    </row>
    <row r="50" customFormat="false" ht="18" hidden="false" customHeight="true" outlineLevel="0" collapsed="false">
      <c r="B50" s="30" t="s">
        <v>182</v>
      </c>
    </row>
    <row r="52" customFormat="false" ht="15" hidden="false" customHeight="true" outlineLevel="0" collapsed="false">
      <c r="A52" s="29" t="s">
        <v>183</v>
      </c>
    </row>
    <row r="53" s="4" customFormat="true" ht="45.75" hidden="false" customHeight="true" outlineLevel="0" collapsed="false"/>
    <row r="54" customFormat="false" ht="23.25" hidden="false" customHeight="true" outlineLevel="0" collapsed="false">
      <c r="B54" s="30" t="s">
        <v>184</v>
      </c>
    </row>
    <row r="55" customFormat="false" ht="15" hidden="false" customHeight="true" outlineLevel="0" collapsed="false">
      <c r="A55" s="29" t="s">
        <v>185</v>
      </c>
    </row>
    <row r="56" customFormat="false" ht="15" hidden="false" customHeight="true" outlineLevel="0" collapsed="false">
      <c r="A56" s="33" t="s">
        <v>186</v>
      </c>
      <c r="B56" s="30" t="s">
        <v>187</v>
      </c>
    </row>
    <row r="57" s="4" customFormat="true" ht="15" hidden="false" customHeight="true" outlineLevel="0" collapsed="false">
      <c r="A57" s="33" t="s">
        <v>188</v>
      </c>
      <c r="B57" s="30" t="s">
        <v>189</v>
      </c>
    </row>
    <row r="58" customFormat="false" ht="23.25" hidden="false" customHeight="true" outlineLevel="0" collapsed="false">
      <c r="A58" s="33" t="s">
        <v>190</v>
      </c>
      <c r="B58" s="30" t="s">
        <v>191</v>
      </c>
    </row>
    <row r="59" s="4" customFormat="true" ht="15" hidden="false" customHeight="true" outlineLevel="0" collapsed="false">
      <c r="A59" s="33" t="s">
        <v>192</v>
      </c>
      <c r="B59" s="30" t="s">
        <v>193</v>
      </c>
    </row>
    <row r="61" customFormat="false" ht="15" hidden="false" customHeight="true" outlineLevel="0" collapsed="false">
      <c r="A61" s="29" t="s">
        <v>194</v>
      </c>
    </row>
    <row r="62" customFormat="false" ht="15" hidden="false" customHeight="true" outlineLevel="0" collapsed="false">
      <c r="A62" s="34" t="s">
        <v>195</v>
      </c>
      <c r="B62" s="35" t="s">
        <v>196</v>
      </c>
    </row>
    <row r="63" customFormat="false" ht="15" hidden="false" customHeight="true" outlineLevel="0" collapsed="false">
      <c r="A63" s="34" t="s">
        <v>197</v>
      </c>
      <c r="B63" s="35" t="s">
        <v>198</v>
      </c>
    </row>
    <row r="64" customFormat="false" ht="15" hidden="false" customHeight="true" outlineLevel="0" collapsed="false">
      <c r="A64" s="34" t="s">
        <v>199</v>
      </c>
      <c r="B64" s="35" t="s">
        <v>200</v>
      </c>
    </row>
    <row r="65" customFormat="false" ht="15" hidden="false" customHeight="true" outlineLevel="0" collapsed="false">
      <c r="A65" s="34" t="s">
        <v>201</v>
      </c>
      <c r="B65" s="35" t="s">
        <v>202</v>
      </c>
    </row>
    <row r="66" customFormat="false" ht="15" hidden="false" customHeight="true" outlineLevel="0" collapsed="false">
      <c r="A66" s="34" t="s">
        <v>203</v>
      </c>
      <c r="B66" s="35" t="s">
        <v>204</v>
      </c>
    </row>
    <row r="67" customFormat="false" ht="15" hidden="false" customHeight="true" outlineLevel="0" collapsed="false">
      <c r="A67" s="34" t="s">
        <v>205</v>
      </c>
      <c r="B67" s="35" t="s">
        <v>206</v>
      </c>
    </row>
    <row r="68" customFormat="false" ht="15" hidden="false" customHeight="true" outlineLevel="0" collapsed="false">
      <c r="A68" s="34" t="s">
        <v>207</v>
      </c>
      <c r="B68" s="35" t="s">
        <v>208</v>
      </c>
    </row>
  </sheetData>
  <hyperlinks>
    <hyperlink ref="B62" r:id="rId1" display="https://en.wikipedia.org/wiki/Sales_per_unit_area"/>
    <hyperlink ref="B63" r:id="rId2" display="https://www.linkedin.com/pulse/retail-sales-per-square-foot-jim-amorin-cae-mai-sra-ai-grs-cdei"/>
    <hyperlink ref="B64" r:id="rId3" display="https://bhumicalculator.com/countries/united-kingdom/fit-out-costs-per-square-metre"/>
    <hyperlink ref="B65" r:id="rId4" display="https://www.newlookuk.co.uk/how-much-does-a-shop-fit-out-cost"/>
    <hyperlink ref="B66" r:id="rId5" display="https://www.checkatrade.com/blog/cost-guides/shop-renovation-cost/"/>
    <hyperlink ref="B67" r:id="rId6" display="https://finturf.com/blog/conversion-rate-in-retail/"/>
    <hyperlink ref="B68" r:id="rId7" display="https://www.getdor.com/blog/2019/12/17/how-to-calculate-and-increase-retail-conversion-rat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2026-07-04T11:47:22Z</dcterms:created>
  <dc:creator>openpyxl</dc:creator>
  <dc:description/>
  <dc:language>en-US</dc:language>
  <cp:lastModifiedBy>Marika Lisoni</cp:lastModifiedBy>
  <dcterms:modified xsi:type="dcterms:W3CDTF">2026-07-05T12:52:51Z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