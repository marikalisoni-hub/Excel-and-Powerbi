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marik\Downloads\"/>
    </mc:Choice>
  </mc:AlternateContent>
  <xr:revisionPtr revIDLastSave="0" documentId="13_ncr:1_{1342A018-4FD5-46BF-821B-F3A9D7E3DD17}" xr6:coauthVersionLast="47" xr6:coauthVersionMax="47" xr10:uidLastSave="{00000000-0000-0000-0000-000000000000}"/>
  <bookViews>
    <workbookView xWindow="-19310" yWindow="610" windowWidth="19420" windowHeight="10300" tabRatio="500" xr2:uid="{00000000-000D-0000-FFFF-FFFF00000000}"/>
  </bookViews>
  <sheets>
    <sheet name="README" sheetId="1" r:id="rId1"/>
    <sheet name="Dashboard" sheetId="2" r:id="rId2"/>
    <sheet name="Actions" sheetId="7" r:id="rId3"/>
    <sheet name="Assumptions" sheetId="3" r:id="rId4"/>
    <sheet name="Dim_Product" sheetId="4" r:id="rId5"/>
    <sheet name="Fact_Weekly" sheetId="5" r:id="rId6"/>
    <sheet name="Analysis" sheetId="6" r:id="rId7"/>
  </sheets>
  <definedNames>
    <definedName name="_xlnm._FilterDatabase" localSheetId="6" hidden="1">Analysis!$A$1:$X$121</definedName>
    <definedName name="_xlnm._FilterDatabase" localSheetId="4" hidden="1">Dim_Product!$A$1:$G$31</definedName>
    <definedName name="_xlnm._FilterDatabase" localSheetId="5" hidden="1">Fact_Weekly!$A$1:$G$1441</definedName>
    <definedName name="Slicer_Recommended_Action">#N/A</definedName>
  </definedNames>
  <calcPr calcId="191029" iterateDelta="1E-4"/>
  <pivotCaches>
    <pivotCache cacheId="6"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4" i="2" l="1"/>
  <c r="N2" i="6"/>
  <c r="L3" i="6"/>
  <c r="M3" i="6" s="1"/>
  <c r="L2" i="6"/>
  <c r="M2" i="6" s="1"/>
  <c r="I2" i="6"/>
  <c r="G3" i="5"/>
  <c r="F3" i="5"/>
  <c r="F2" i="5"/>
  <c r="H2" i="6"/>
  <c r="L121" i="6"/>
  <c r="M121" i="6" s="1"/>
  <c r="I121" i="6"/>
  <c r="H121" i="6"/>
  <c r="G121" i="6"/>
  <c r="F121" i="6"/>
  <c r="E121" i="6"/>
  <c r="D121" i="6"/>
  <c r="C121" i="6"/>
  <c r="L120" i="6"/>
  <c r="M120" i="6" s="1"/>
  <c r="I120" i="6"/>
  <c r="H120" i="6"/>
  <c r="G120" i="6"/>
  <c r="F120" i="6"/>
  <c r="E120" i="6"/>
  <c r="D120" i="6"/>
  <c r="C120" i="6"/>
  <c r="L119" i="6"/>
  <c r="M119" i="6" s="1"/>
  <c r="I119" i="6"/>
  <c r="H119" i="6"/>
  <c r="G119" i="6"/>
  <c r="F119" i="6"/>
  <c r="E119" i="6"/>
  <c r="D119" i="6"/>
  <c r="C119" i="6"/>
  <c r="L118" i="6"/>
  <c r="M118" i="6" s="1"/>
  <c r="I118" i="6"/>
  <c r="H118" i="6"/>
  <c r="G118" i="6"/>
  <c r="F118" i="6"/>
  <c r="E118" i="6"/>
  <c r="D118" i="6"/>
  <c r="C118" i="6"/>
  <c r="L117" i="6"/>
  <c r="M117" i="6" s="1"/>
  <c r="I117" i="6"/>
  <c r="H117" i="6"/>
  <c r="G117" i="6"/>
  <c r="F117" i="6"/>
  <c r="E117" i="6"/>
  <c r="D117" i="6"/>
  <c r="C117" i="6"/>
  <c r="L116" i="6"/>
  <c r="M116" i="6" s="1"/>
  <c r="I116" i="6"/>
  <c r="H116" i="6"/>
  <c r="G116" i="6"/>
  <c r="F116" i="6"/>
  <c r="E116" i="6"/>
  <c r="D116" i="6"/>
  <c r="C116" i="6"/>
  <c r="L115" i="6"/>
  <c r="M115" i="6" s="1"/>
  <c r="I115" i="6"/>
  <c r="H115" i="6"/>
  <c r="G115" i="6"/>
  <c r="F115" i="6"/>
  <c r="E115" i="6"/>
  <c r="D115" i="6"/>
  <c r="C115" i="6"/>
  <c r="L114" i="6"/>
  <c r="M114" i="6" s="1"/>
  <c r="I114" i="6"/>
  <c r="H114" i="6"/>
  <c r="G114" i="6"/>
  <c r="F114" i="6"/>
  <c r="E114" i="6"/>
  <c r="D114" i="6"/>
  <c r="C114" i="6"/>
  <c r="L113" i="6"/>
  <c r="M113" i="6" s="1"/>
  <c r="I113" i="6"/>
  <c r="H113" i="6"/>
  <c r="G113" i="6"/>
  <c r="F113" i="6"/>
  <c r="E113" i="6"/>
  <c r="D113" i="6"/>
  <c r="C113" i="6"/>
  <c r="L112" i="6"/>
  <c r="M112" i="6" s="1"/>
  <c r="I112" i="6"/>
  <c r="H112" i="6"/>
  <c r="G112" i="6"/>
  <c r="F112" i="6"/>
  <c r="E112" i="6"/>
  <c r="D112" i="6"/>
  <c r="C112" i="6"/>
  <c r="L111" i="6"/>
  <c r="M111" i="6" s="1"/>
  <c r="I111" i="6"/>
  <c r="H111" i="6"/>
  <c r="G111" i="6"/>
  <c r="F111" i="6"/>
  <c r="E111" i="6"/>
  <c r="D111" i="6"/>
  <c r="C111" i="6"/>
  <c r="L110" i="6"/>
  <c r="M110" i="6" s="1"/>
  <c r="I110" i="6"/>
  <c r="H110" i="6"/>
  <c r="G110" i="6"/>
  <c r="F110" i="6"/>
  <c r="E110" i="6"/>
  <c r="D110" i="6"/>
  <c r="C110" i="6"/>
  <c r="L109" i="6"/>
  <c r="M109" i="6" s="1"/>
  <c r="I109" i="6"/>
  <c r="H109" i="6"/>
  <c r="G109" i="6"/>
  <c r="F109" i="6"/>
  <c r="E109" i="6"/>
  <c r="D109" i="6"/>
  <c r="C109" i="6"/>
  <c r="L108" i="6"/>
  <c r="M108" i="6" s="1"/>
  <c r="I108" i="6"/>
  <c r="H108" i="6"/>
  <c r="G108" i="6"/>
  <c r="F108" i="6"/>
  <c r="E108" i="6"/>
  <c r="D108" i="6"/>
  <c r="C108" i="6"/>
  <c r="L107" i="6"/>
  <c r="M107" i="6" s="1"/>
  <c r="I107" i="6"/>
  <c r="H107" i="6"/>
  <c r="G107" i="6"/>
  <c r="F107" i="6"/>
  <c r="E107" i="6"/>
  <c r="D107" i="6"/>
  <c r="C107" i="6"/>
  <c r="L106" i="6"/>
  <c r="M106" i="6" s="1"/>
  <c r="I106" i="6"/>
  <c r="H106" i="6"/>
  <c r="G106" i="6"/>
  <c r="F106" i="6"/>
  <c r="E106" i="6"/>
  <c r="D106" i="6"/>
  <c r="C106" i="6"/>
  <c r="L105" i="6"/>
  <c r="M105" i="6" s="1"/>
  <c r="I105" i="6"/>
  <c r="H105" i="6"/>
  <c r="G105" i="6"/>
  <c r="F105" i="6"/>
  <c r="E105" i="6"/>
  <c r="D105" i="6"/>
  <c r="C105" i="6"/>
  <c r="L104" i="6"/>
  <c r="M104" i="6" s="1"/>
  <c r="I104" i="6"/>
  <c r="H104" i="6"/>
  <c r="G104" i="6"/>
  <c r="F104" i="6"/>
  <c r="E104" i="6"/>
  <c r="D104" i="6"/>
  <c r="C104" i="6"/>
  <c r="L103" i="6"/>
  <c r="M103" i="6" s="1"/>
  <c r="I103" i="6"/>
  <c r="H103" i="6"/>
  <c r="G103" i="6"/>
  <c r="F103" i="6"/>
  <c r="E103" i="6"/>
  <c r="D103" i="6"/>
  <c r="C103" i="6"/>
  <c r="L102" i="6"/>
  <c r="M102" i="6" s="1"/>
  <c r="I102" i="6"/>
  <c r="H102" i="6"/>
  <c r="G102" i="6"/>
  <c r="F102" i="6"/>
  <c r="E102" i="6"/>
  <c r="D102" i="6"/>
  <c r="C102" i="6"/>
  <c r="L101" i="6"/>
  <c r="M101" i="6" s="1"/>
  <c r="I101" i="6"/>
  <c r="H101" i="6"/>
  <c r="G101" i="6"/>
  <c r="F101" i="6"/>
  <c r="E101" i="6"/>
  <c r="D101" i="6"/>
  <c r="C101" i="6"/>
  <c r="L100" i="6"/>
  <c r="M100" i="6" s="1"/>
  <c r="I100" i="6"/>
  <c r="H100" i="6"/>
  <c r="G100" i="6"/>
  <c r="F100" i="6"/>
  <c r="E100" i="6"/>
  <c r="D100" i="6"/>
  <c r="C100" i="6"/>
  <c r="L99" i="6"/>
  <c r="M99" i="6" s="1"/>
  <c r="I99" i="6"/>
  <c r="H99" i="6"/>
  <c r="G99" i="6"/>
  <c r="F99" i="6"/>
  <c r="E99" i="6"/>
  <c r="D99" i="6"/>
  <c r="C99" i="6"/>
  <c r="L98" i="6"/>
  <c r="M98" i="6" s="1"/>
  <c r="I98" i="6"/>
  <c r="H98" i="6"/>
  <c r="G98" i="6"/>
  <c r="F98" i="6"/>
  <c r="E98" i="6"/>
  <c r="D98" i="6"/>
  <c r="C98" i="6"/>
  <c r="L97" i="6"/>
  <c r="M97" i="6" s="1"/>
  <c r="I97" i="6"/>
  <c r="H97" i="6"/>
  <c r="G97" i="6"/>
  <c r="F97" i="6"/>
  <c r="E97" i="6"/>
  <c r="D97" i="6"/>
  <c r="C97" i="6"/>
  <c r="L96" i="6"/>
  <c r="M96" i="6" s="1"/>
  <c r="I96" i="6"/>
  <c r="H96" i="6"/>
  <c r="G96" i="6"/>
  <c r="F96" i="6"/>
  <c r="E96" i="6"/>
  <c r="D96" i="6"/>
  <c r="C96" i="6"/>
  <c r="L95" i="6"/>
  <c r="M95" i="6" s="1"/>
  <c r="I95" i="6"/>
  <c r="H95" i="6"/>
  <c r="G95" i="6"/>
  <c r="F95" i="6"/>
  <c r="E95" i="6"/>
  <c r="D95" i="6"/>
  <c r="C95" i="6"/>
  <c r="L94" i="6"/>
  <c r="M94" i="6" s="1"/>
  <c r="I94" i="6"/>
  <c r="H94" i="6"/>
  <c r="G94" i="6"/>
  <c r="F94" i="6"/>
  <c r="E94" i="6"/>
  <c r="D94" i="6"/>
  <c r="C94" i="6"/>
  <c r="L93" i="6"/>
  <c r="M93" i="6" s="1"/>
  <c r="I93" i="6"/>
  <c r="H93" i="6"/>
  <c r="G93" i="6"/>
  <c r="F93" i="6"/>
  <c r="E93" i="6"/>
  <c r="D93" i="6"/>
  <c r="C93" i="6"/>
  <c r="L92" i="6"/>
  <c r="M92" i="6" s="1"/>
  <c r="I92" i="6"/>
  <c r="H92" i="6"/>
  <c r="G92" i="6"/>
  <c r="F92" i="6"/>
  <c r="E92" i="6"/>
  <c r="D92" i="6"/>
  <c r="C92" i="6"/>
  <c r="L91" i="6"/>
  <c r="M91" i="6" s="1"/>
  <c r="I91" i="6"/>
  <c r="H91" i="6"/>
  <c r="G91" i="6"/>
  <c r="F91" i="6"/>
  <c r="E91" i="6"/>
  <c r="D91" i="6"/>
  <c r="C91" i="6"/>
  <c r="L90" i="6"/>
  <c r="M90" i="6" s="1"/>
  <c r="I90" i="6"/>
  <c r="H90" i="6"/>
  <c r="G90" i="6"/>
  <c r="F90" i="6"/>
  <c r="E90" i="6"/>
  <c r="D90" i="6"/>
  <c r="C90" i="6"/>
  <c r="L89" i="6"/>
  <c r="M89" i="6" s="1"/>
  <c r="I89" i="6"/>
  <c r="H89" i="6"/>
  <c r="G89" i="6"/>
  <c r="F89" i="6"/>
  <c r="E89" i="6"/>
  <c r="D89" i="6"/>
  <c r="C89" i="6"/>
  <c r="L88" i="6"/>
  <c r="M88" i="6" s="1"/>
  <c r="I88" i="6"/>
  <c r="H88" i="6"/>
  <c r="G88" i="6"/>
  <c r="F88" i="6"/>
  <c r="E88" i="6"/>
  <c r="D88" i="6"/>
  <c r="C88" i="6"/>
  <c r="L87" i="6"/>
  <c r="M87" i="6" s="1"/>
  <c r="I87" i="6"/>
  <c r="H87" i="6"/>
  <c r="G87" i="6"/>
  <c r="F87" i="6"/>
  <c r="E87" i="6"/>
  <c r="D87" i="6"/>
  <c r="C87" i="6"/>
  <c r="L86" i="6"/>
  <c r="M86" i="6" s="1"/>
  <c r="I86" i="6"/>
  <c r="H86" i="6"/>
  <c r="G86" i="6"/>
  <c r="F86" i="6"/>
  <c r="E86" i="6"/>
  <c r="D86" i="6"/>
  <c r="C86" i="6"/>
  <c r="L85" i="6"/>
  <c r="M85" i="6" s="1"/>
  <c r="I85" i="6"/>
  <c r="H85" i="6"/>
  <c r="G85" i="6"/>
  <c r="F85" i="6"/>
  <c r="E85" i="6"/>
  <c r="D85" i="6"/>
  <c r="C85" i="6"/>
  <c r="L84" i="6"/>
  <c r="M84" i="6" s="1"/>
  <c r="I84" i="6"/>
  <c r="H84" i="6"/>
  <c r="G84" i="6"/>
  <c r="F84" i="6"/>
  <c r="E84" i="6"/>
  <c r="D84" i="6"/>
  <c r="C84" i="6"/>
  <c r="L83" i="6"/>
  <c r="M83" i="6" s="1"/>
  <c r="I83" i="6"/>
  <c r="H83" i="6"/>
  <c r="G83" i="6"/>
  <c r="F83" i="6"/>
  <c r="E83" i="6"/>
  <c r="D83" i="6"/>
  <c r="C83" i="6"/>
  <c r="L82" i="6"/>
  <c r="M82" i="6" s="1"/>
  <c r="I82" i="6"/>
  <c r="H82" i="6"/>
  <c r="G82" i="6"/>
  <c r="F82" i="6"/>
  <c r="E82" i="6"/>
  <c r="D82" i="6"/>
  <c r="C82" i="6"/>
  <c r="L81" i="6"/>
  <c r="M81" i="6" s="1"/>
  <c r="I81" i="6"/>
  <c r="H81" i="6"/>
  <c r="G81" i="6"/>
  <c r="F81" i="6"/>
  <c r="E81" i="6"/>
  <c r="D81" i="6"/>
  <c r="C81" i="6"/>
  <c r="L80" i="6"/>
  <c r="M80" i="6" s="1"/>
  <c r="I80" i="6"/>
  <c r="H80" i="6"/>
  <c r="G80" i="6"/>
  <c r="F80" i="6"/>
  <c r="E80" i="6"/>
  <c r="D80" i="6"/>
  <c r="C80" i="6"/>
  <c r="L79" i="6"/>
  <c r="M79" i="6" s="1"/>
  <c r="I79" i="6"/>
  <c r="H79" i="6"/>
  <c r="G79" i="6"/>
  <c r="F79" i="6"/>
  <c r="E79" i="6"/>
  <c r="D79" i="6"/>
  <c r="C79" i="6"/>
  <c r="L78" i="6"/>
  <c r="M78" i="6" s="1"/>
  <c r="I78" i="6"/>
  <c r="H78" i="6"/>
  <c r="G78" i="6"/>
  <c r="F78" i="6"/>
  <c r="E78" i="6"/>
  <c r="D78" i="6"/>
  <c r="C78" i="6"/>
  <c r="L77" i="6"/>
  <c r="M77" i="6" s="1"/>
  <c r="I77" i="6"/>
  <c r="H77" i="6"/>
  <c r="G77" i="6"/>
  <c r="F77" i="6"/>
  <c r="E77" i="6"/>
  <c r="D77" i="6"/>
  <c r="C77" i="6"/>
  <c r="L76" i="6"/>
  <c r="M76" i="6" s="1"/>
  <c r="I76" i="6"/>
  <c r="H76" i="6"/>
  <c r="G76" i="6"/>
  <c r="F76" i="6"/>
  <c r="E76" i="6"/>
  <c r="D76" i="6"/>
  <c r="C76" i="6"/>
  <c r="L75" i="6"/>
  <c r="M75" i="6" s="1"/>
  <c r="I75" i="6"/>
  <c r="H75" i="6"/>
  <c r="G75" i="6"/>
  <c r="F75" i="6"/>
  <c r="E75" i="6"/>
  <c r="D75" i="6"/>
  <c r="C75" i="6"/>
  <c r="L74" i="6"/>
  <c r="M74" i="6" s="1"/>
  <c r="I74" i="6"/>
  <c r="H74" i="6"/>
  <c r="G74" i="6"/>
  <c r="F74" i="6"/>
  <c r="E74" i="6"/>
  <c r="D74" i="6"/>
  <c r="C74" i="6"/>
  <c r="L73" i="6"/>
  <c r="M73" i="6" s="1"/>
  <c r="I73" i="6"/>
  <c r="H73" i="6"/>
  <c r="G73" i="6"/>
  <c r="F73" i="6"/>
  <c r="E73" i="6"/>
  <c r="D73" i="6"/>
  <c r="C73" i="6"/>
  <c r="L72" i="6"/>
  <c r="M72" i="6" s="1"/>
  <c r="I72" i="6"/>
  <c r="H72" i="6"/>
  <c r="G72" i="6"/>
  <c r="F72" i="6"/>
  <c r="E72" i="6"/>
  <c r="D72" i="6"/>
  <c r="C72" i="6"/>
  <c r="L71" i="6"/>
  <c r="M71" i="6" s="1"/>
  <c r="I71" i="6"/>
  <c r="H71" i="6"/>
  <c r="G71" i="6"/>
  <c r="F71" i="6"/>
  <c r="E71" i="6"/>
  <c r="D71" i="6"/>
  <c r="C71" i="6"/>
  <c r="L70" i="6"/>
  <c r="M70" i="6" s="1"/>
  <c r="I70" i="6"/>
  <c r="H70" i="6"/>
  <c r="G70" i="6"/>
  <c r="F70" i="6"/>
  <c r="E70" i="6"/>
  <c r="D70" i="6"/>
  <c r="C70" i="6"/>
  <c r="L69" i="6"/>
  <c r="M69" i="6" s="1"/>
  <c r="I69" i="6"/>
  <c r="H69" i="6"/>
  <c r="G69" i="6"/>
  <c r="F69" i="6"/>
  <c r="E69" i="6"/>
  <c r="D69" i="6"/>
  <c r="C69" i="6"/>
  <c r="L68" i="6"/>
  <c r="M68" i="6" s="1"/>
  <c r="I68" i="6"/>
  <c r="H68" i="6"/>
  <c r="G68" i="6"/>
  <c r="F68" i="6"/>
  <c r="E68" i="6"/>
  <c r="D68" i="6"/>
  <c r="C68" i="6"/>
  <c r="L67" i="6"/>
  <c r="M67" i="6" s="1"/>
  <c r="I67" i="6"/>
  <c r="H67" i="6"/>
  <c r="G67" i="6"/>
  <c r="F67" i="6"/>
  <c r="E67" i="6"/>
  <c r="D67" i="6"/>
  <c r="C67" i="6"/>
  <c r="L66" i="6"/>
  <c r="M66" i="6" s="1"/>
  <c r="I66" i="6"/>
  <c r="H66" i="6"/>
  <c r="G66" i="6"/>
  <c r="F66" i="6"/>
  <c r="E66" i="6"/>
  <c r="D66" i="6"/>
  <c r="C66" i="6"/>
  <c r="L65" i="6"/>
  <c r="M65" i="6" s="1"/>
  <c r="I65" i="6"/>
  <c r="H65" i="6"/>
  <c r="G65" i="6"/>
  <c r="F65" i="6"/>
  <c r="E65" i="6"/>
  <c r="D65" i="6"/>
  <c r="C65" i="6"/>
  <c r="L64" i="6"/>
  <c r="M64" i="6" s="1"/>
  <c r="I64" i="6"/>
  <c r="H64" i="6"/>
  <c r="G64" i="6"/>
  <c r="F64" i="6"/>
  <c r="E64" i="6"/>
  <c r="D64" i="6"/>
  <c r="C64" i="6"/>
  <c r="L63" i="6"/>
  <c r="M63" i="6" s="1"/>
  <c r="I63" i="6"/>
  <c r="H63" i="6"/>
  <c r="G63" i="6"/>
  <c r="F63" i="6"/>
  <c r="E63" i="6"/>
  <c r="D63" i="6"/>
  <c r="C63" i="6"/>
  <c r="L62" i="6"/>
  <c r="M62" i="6" s="1"/>
  <c r="I62" i="6"/>
  <c r="H62" i="6"/>
  <c r="G62" i="6"/>
  <c r="F62" i="6"/>
  <c r="E62" i="6"/>
  <c r="D62" i="6"/>
  <c r="C62" i="6"/>
  <c r="L61" i="6"/>
  <c r="M61" i="6" s="1"/>
  <c r="I61" i="6"/>
  <c r="H61" i="6"/>
  <c r="G61" i="6"/>
  <c r="F61" i="6"/>
  <c r="E61" i="6"/>
  <c r="D61" i="6"/>
  <c r="C61" i="6"/>
  <c r="L60" i="6"/>
  <c r="M60" i="6" s="1"/>
  <c r="I60" i="6"/>
  <c r="H60" i="6"/>
  <c r="G60" i="6"/>
  <c r="F60" i="6"/>
  <c r="E60" i="6"/>
  <c r="D60" i="6"/>
  <c r="C60" i="6"/>
  <c r="L59" i="6"/>
  <c r="M59" i="6" s="1"/>
  <c r="I59" i="6"/>
  <c r="H59" i="6"/>
  <c r="G59" i="6"/>
  <c r="F59" i="6"/>
  <c r="E59" i="6"/>
  <c r="D59" i="6"/>
  <c r="C59" i="6"/>
  <c r="L58" i="6"/>
  <c r="M58" i="6" s="1"/>
  <c r="I58" i="6"/>
  <c r="H58" i="6"/>
  <c r="G58" i="6"/>
  <c r="F58" i="6"/>
  <c r="E58" i="6"/>
  <c r="D58" i="6"/>
  <c r="C58" i="6"/>
  <c r="L57" i="6"/>
  <c r="M57" i="6" s="1"/>
  <c r="I57" i="6"/>
  <c r="H57" i="6"/>
  <c r="G57" i="6"/>
  <c r="F57" i="6"/>
  <c r="E57" i="6"/>
  <c r="D57" i="6"/>
  <c r="C57" i="6"/>
  <c r="L56" i="6"/>
  <c r="M56" i="6" s="1"/>
  <c r="I56" i="6"/>
  <c r="H56" i="6"/>
  <c r="G56" i="6"/>
  <c r="F56" i="6"/>
  <c r="E56" i="6"/>
  <c r="D56" i="6"/>
  <c r="C56" i="6"/>
  <c r="L55" i="6"/>
  <c r="M55" i="6" s="1"/>
  <c r="I55" i="6"/>
  <c r="H55" i="6"/>
  <c r="G55" i="6"/>
  <c r="F55" i="6"/>
  <c r="E55" i="6"/>
  <c r="D55" i="6"/>
  <c r="C55" i="6"/>
  <c r="L54" i="6"/>
  <c r="M54" i="6" s="1"/>
  <c r="I54" i="6"/>
  <c r="H54" i="6"/>
  <c r="G54" i="6"/>
  <c r="F54" i="6"/>
  <c r="E54" i="6"/>
  <c r="D54" i="6"/>
  <c r="C54" i="6"/>
  <c r="L53" i="6"/>
  <c r="M53" i="6" s="1"/>
  <c r="I53" i="6"/>
  <c r="H53" i="6"/>
  <c r="G53" i="6"/>
  <c r="F53" i="6"/>
  <c r="E53" i="6"/>
  <c r="D53" i="6"/>
  <c r="C53" i="6"/>
  <c r="L52" i="6"/>
  <c r="M52" i="6" s="1"/>
  <c r="I52" i="6"/>
  <c r="H52" i="6"/>
  <c r="G52" i="6"/>
  <c r="F52" i="6"/>
  <c r="E52" i="6"/>
  <c r="D52" i="6"/>
  <c r="C52" i="6"/>
  <c r="L51" i="6"/>
  <c r="M51" i="6" s="1"/>
  <c r="I51" i="6"/>
  <c r="H51" i="6"/>
  <c r="G51" i="6"/>
  <c r="F51" i="6"/>
  <c r="E51" i="6"/>
  <c r="D51" i="6"/>
  <c r="C51" i="6"/>
  <c r="L50" i="6"/>
  <c r="M50" i="6" s="1"/>
  <c r="I50" i="6"/>
  <c r="H50" i="6"/>
  <c r="G50" i="6"/>
  <c r="F50" i="6"/>
  <c r="E50" i="6"/>
  <c r="D50" i="6"/>
  <c r="C50" i="6"/>
  <c r="L49" i="6"/>
  <c r="M49" i="6" s="1"/>
  <c r="I49" i="6"/>
  <c r="H49" i="6"/>
  <c r="G49" i="6"/>
  <c r="F49" i="6"/>
  <c r="E49" i="6"/>
  <c r="D49" i="6"/>
  <c r="C49" i="6"/>
  <c r="L48" i="6"/>
  <c r="M48" i="6" s="1"/>
  <c r="I48" i="6"/>
  <c r="H48" i="6"/>
  <c r="G48" i="6"/>
  <c r="F48" i="6"/>
  <c r="E48" i="6"/>
  <c r="D48" i="6"/>
  <c r="C48" i="6"/>
  <c r="L47" i="6"/>
  <c r="M47" i="6" s="1"/>
  <c r="I47" i="6"/>
  <c r="H47" i="6"/>
  <c r="G47" i="6"/>
  <c r="F47" i="6"/>
  <c r="E47" i="6"/>
  <c r="D47" i="6"/>
  <c r="C47" i="6"/>
  <c r="L46" i="6"/>
  <c r="M46" i="6" s="1"/>
  <c r="I46" i="6"/>
  <c r="H46" i="6"/>
  <c r="G46" i="6"/>
  <c r="F46" i="6"/>
  <c r="E46" i="6"/>
  <c r="D46" i="6"/>
  <c r="C46" i="6"/>
  <c r="L45" i="6"/>
  <c r="M45" i="6" s="1"/>
  <c r="I45" i="6"/>
  <c r="H45" i="6"/>
  <c r="G45" i="6"/>
  <c r="F45" i="6"/>
  <c r="E45" i="6"/>
  <c r="D45" i="6"/>
  <c r="C45" i="6"/>
  <c r="L44" i="6"/>
  <c r="M44" i="6" s="1"/>
  <c r="I44" i="6"/>
  <c r="H44" i="6"/>
  <c r="G44" i="6"/>
  <c r="F44" i="6"/>
  <c r="E44" i="6"/>
  <c r="D44" i="6"/>
  <c r="C44" i="6"/>
  <c r="L43" i="6"/>
  <c r="M43" i="6" s="1"/>
  <c r="I43" i="6"/>
  <c r="H43" i="6"/>
  <c r="G43" i="6"/>
  <c r="F43" i="6"/>
  <c r="E43" i="6"/>
  <c r="D43" i="6"/>
  <c r="C43" i="6"/>
  <c r="L42" i="6"/>
  <c r="M42" i="6" s="1"/>
  <c r="I42" i="6"/>
  <c r="H42" i="6"/>
  <c r="G42" i="6"/>
  <c r="F42" i="6"/>
  <c r="E42" i="6"/>
  <c r="D42" i="6"/>
  <c r="C42" i="6"/>
  <c r="L41" i="6"/>
  <c r="M41" i="6" s="1"/>
  <c r="I41" i="6"/>
  <c r="H41" i="6"/>
  <c r="G41" i="6"/>
  <c r="F41" i="6"/>
  <c r="E41" i="6"/>
  <c r="D41" i="6"/>
  <c r="C41" i="6"/>
  <c r="L40" i="6"/>
  <c r="M40" i="6" s="1"/>
  <c r="I40" i="6"/>
  <c r="H40" i="6"/>
  <c r="G40" i="6"/>
  <c r="F40" i="6"/>
  <c r="E40" i="6"/>
  <c r="D40" i="6"/>
  <c r="C40" i="6"/>
  <c r="L39" i="6"/>
  <c r="M39" i="6" s="1"/>
  <c r="I39" i="6"/>
  <c r="H39" i="6"/>
  <c r="G39" i="6"/>
  <c r="F39" i="6"/>
  <c r="E39" i="6"/>
  <c r="D39" i="6"/>
  <c r="C39" i="6"/>
  <c r="L38" i="6"/>
  <c r="M38" i="6" s="1"/>
  <c r="I38" i="6"/>
  <c r="H38" i="6"/>
  <c r="G38" i="6"/>
  <c r="F38" i="6"/>
  <c r="E38" i="6"/>
  <c r="D38" i="6"/>
  <c r="C38" i="6"/>
  <c r="L37" i="6"/>
  <c r="M37" i="6" s="1"/>
  <c r="I37" i="6"/>
  <c r="H37" i="6"/>
  <c r="G37" i="6"/>
  <c r="F37" i="6"/>
  <c r="E37" i="6"/>
  <c r="D37" i="6"/>
  <c r="C37" i="6"/>
  <c r="L36" i="6"/>
  <c r="M36" i="6" s="1"/>
  <c r="I36" i="6"/>
  <c r="H36" i="6"/>
  <c r="G36" i="6"/>
  <c r="F36" i="6"/>
  <c r="E36" i="6"/>
  <c r="D36" i="6"/>
  <c r="C36" i="6"/>
  <c r="L35" i="6"/>
  <c r="M35" i="6" s="1"/>
  <c r="I35" i="6"/>
  <c r="H35" i="6"/>
  <c r="G35" i="6"/>
  <c r="F35" i="6"/>
  <c r="E35" i="6"/>
  <c r="D35" i="6"/>
  <c r="C35" i="6"/>
  <c r="L34" i="6"/>
  <c r="M34" i="6" s="1"/>
  <c r="I34" i="6"/>
  <c r="H34" i="6"/>
  <c r="G34" i="6"/>
  <c r="F34" i="6"/>
  <c r="E34" i="6"/>
  <c r="D34" i="6"/>
  <c r="C34" i="6"/>
  <c r="L33" i="6"/>
  <c r="M33" i="6" s="1"/>
  <c r="I33" i="6"/>
  <c r="H33" i="6"/>
  <c r="G33" i="6"/>
  <c r="F33" i="6"/>
  <c r="E33" i="6"/>
  <c r="D33" i="6"/>
  <c r="C33" i="6"/>
  <c r="L32" i="6"/>
  <c r="M32" i="6" s="1"/>
  <c r="I32" i="6"/>
  <c r="H32" i="6"/>
  <c r="G32" i="6"/>
  <c r="F32" i="6"/>
  <c r="E32" i="6"/>
  <c r="D32" i="6"/>
  <c r="C32" i="6"/>
  <c r="L31" i="6"/>
  <c r="M31" i="6" s="1"/>
  <c r="I31" i="6"/>
  <c r="H31" i="6"/>
  <c r="G31" i="6"/>
  <c r="F31" i="6"/>
  <c r="E31" i="6"/>
  <c r="D31" i="6"/>
  <c r="C31" i="6"/>
  <c r="L30" i="6"/>
  <c r="M30" i="6" s="1"/>
  <c r="I30" i="6"/>
  <c r="H30" i="6"/>
  <c r="G30" i="6"/>
  <c r="F30" i="6"/>
  <c r="E30" i="6"/>
  <c r="D30" i="6"/>
  <c r="C30" i="6"/>
  <c r="L29" i="6"/>
  <c r="M29" i="6" s="1"/>
  <c r="I29" i="6"/>
  <c r="H29" i="6"/>
  <c r="G29" i="6"/>
  <c r="F29" i="6"/>
  <c r="E29" i="6"/>
  <c r="D29" i="6"/>
  <c r="C29" i="6"/>
  <c r="L28" i="6"/>
  <c r="M28" i="6" s="1"/>
  <c r="I28" i="6"/>
  <c r="H28" i="6"/>
  <c r="G28" i="6"/>
  <c r="F28" i="6"/>
  <c r="E28" i="6"/>
  <c r="D28" i="6"/>
  <c r="C28" i="6"/>
  <c r="L27" i="6"/>
  <c r="M27" i="6" s="1"/>
  <c r="I27" i="6"/>
  <c r="H27" i="6"/>
  <c r="G27" i="6"/>
  <c r="F27" i="6"/>
  <c r="E27" i="6"/>
  <c r="D27" i="6"/>
  <c r="C27" i="6"/>
  <c r="L26" i="6"/>
  <c r="M26" i="6" s="1"/>
  <c r="I26" i="6"/>
  <c r="H26" i="6"/>
  <c r="G26" i="6"/>
  <c r="F26" i="6"/>
  <c r="E26" i="6"/>
  <c r="D26" i="6"/>
  <c r="C26" i="6"/>
  <c r="L25" i="6"/>
  <c r="M25" i="6" s="1"/>
  <c r="I25" i="6"/>
  <c r="H25" i="6"/>
  <c r="G25" i="6"/>
  <c r="F25" i="6"/>
  <c r="E25" i="6"/>
  <c r="D25" i="6"/>
  <c r="C25" i="6"/>
  <c r="L24" i="6"/>
  <c r="M24" i="6" s="1"/>
  <c r="I24" i="6"/>
  <c r="H24" i="6"/>
  <c r="G24" i="6"/>
  <c r="F24" i="6"/>
  <c r="E24" i="6"/>
  <c r="D24" i="6"/>
  <c r="C24" i="6"/>
  <c r="L23" i="6"/>
  <c r="M23" i="6" s="1"/>
  <c r="I23" i="6"/>
  <c r="H23" i="6"/>
  <c r="G23" i="6"/>
  <c r="F23" i="6"/>
  <c r="E23" i="6"/>
  <c r="D23" i="6"/>
  <c r="C23" i="6"/>
  <c r="L22" i="6"/>
  <c r="M22" i="6" s="1"/>
  <c r="I22" i="6"/>
  <c r="H22" i="6"/>
  <c r="G22" i="6"/>
  <c r="F22" i="6"/>
  <c r="E22" i="6"/>
  <c r="D22" i="6"/>
  <c r="C22" i="6"/>
  <c r="L21" i="6"/>
  <c r="M21" i="6" s="1"/>
  <c r="I21" i="6"/>
  <c r="H21" i="6"/>
  <c r="G21" i="6"/>
  <c r="F21" i="6"/>
  <c r="E21" i="6"/>
  <c r="D21" i="6"/>
  <c r="C21" i="6"/>
  <c r="L20" i="6"/>
  <c r="M20" i="6" s="1"/>
  <c r="I20" i="6"/>
  <c r="H20" i="6"/>
  <c r="G20" i="6"/>
  <c r="F20" i="6"/>
  <c r="E20" i="6"/>
  <c r="D20" i="6"/>
  <c r="C20" i="6"/>
  <c r="L19" i="6"/>
  <c r="M19" i="6" s="1"/>
  <c r="I19" i="6"/>
  <c r="H19" i="6"/>
  <c r="G19" i="6"/>
  <c r="F19" i="6"/>
  <c r="E19" i="6"/>
  <c r="D19" i="6"/>
  <c r="C19" i="6"/>
  <c r="L18" i="6"/>
  <c r="M18" i="6" s="1"/>
  <c r="I18" i="6"/>
  <c r="H18" i="6"/>
  <c r="G18" i="6"/>
  <c r="F18" i="6"/>
  <c r="E18" i="6"/>
  <c r="D18" i="6"/>
  <c r="C18" i="6"/>
  <c r="L17" i="6"/>
  <c r="M17" i="6" s="1"/>
  <c r="I17" i="6"/>
  <c r="H17" i="6"/>
  <c r="G17" i="6"/>
  <c r="F17" i="6"/>
  <c r="E17" i="6"/>
  <c r="D17" i="6"/>
  <c r="C17" i="6"/>
  <c r="L16" i="6"/>
  <c r="M16" i="6" s="1"/>
  <c r="I16" i="6"/>
  <c r="H16" i="6"/>
  <c r="G16" i="6"/>
  <c r="F16" i="6"/>
  <c r="E16" i="6"/>
  <c r="D16" i="6"/>
  <c r="C16" i="6"/>
  <c r="L15" i="6"/>
  <c r="M15" i="6" s="1"/>
  <c r="I15" i="6"/>
  <c r="H15" i="6"/>
  <c r="G15" i="6"/>
  <c r="F15" i="6"/>
  <c r="E15" i="6"/>
  <c r="D15" i="6"/>
  <c r="C15" i="6"/>
  <c r="L14" i="6"/>
  <c r="M14" i="6" s="1"/>
  <c r="I14" i="6"/>
  <c r="H14" i="6"/>
  <c r="G14" i="6"/>
  <c r="F14" i="6"/>
  <c r="E14" i="6"/>
  <c r="D14" i="6"/>
  <c r="C14" i="6"/>
  <c r="L13" i="6"/>
  <c r="M13" i="6" s="1"/>
  <c r="I13" i="6"/>
  <c r="H13" i="6"/>
  <c r="G13" i="6"/>
  <c r="F13" i="6"/>
  <c r="E13" i="6"/>
  <c r="D13" i="6"/>
  <c r="C13" i="6"/>
  <c r="L12" i="6"/>
  <c r="M12" i="6" s="1"/>
  <c r="I12" i="6"/>
  <c r="H12" i="6"/>
  <c r="G12" i="6"/>
  <c r="F12" i="6"/>
  <c r="E12" i="6"/>
  <c r="D12" i="6"/>
  <c r="C12" i="6"/>
  <c r="L11" i="6"/>
  <c r="M11" i="6" s="1"/>
  <c r="I11" i="6"/>
  <c r="H11" i="6"/>
  <c r="G11" i="6"/>
  <c r="F11" i="6"/>
  <c r="E11" i="6"/>
  <c r="D11" i="6"/>
  <c r="C11" i="6"/>
  <c r="L10" i="6"/>
  <c r="M10" i="6" s="1"/>
  <c r="I10" i="6"/>
  <c r="H10" i="6"/>
  <c r="G10" i="6"/>
  <c r="F10" i="6"/>
  <c r="E10" i="6"/>
  <c r="D10" i="6"/>
  <c r="C10" i="6"/>
  <c r="L9" i="6"/>
  <c r="M9" i="6" s="1"/>
  <c r="I9" i="6"/>
  <c r="H9" i="6"/>
  <c r="G9" i="6"/>
  <c r="F9" i="6"/>
  <c r="E9" i="6"/>
  <c r="D9" i="6"/>
  <c r="C9" i="6"/>
  <c r="L8" i="6"/>
  <c r="M8" i="6" s="1"/>
  <c r="I8" i="6"/>
  <c r="H8" i="6"/>
  <c r="G8" i="6"/>
  <c r="F8" i="6"/>
  <c r="E8" i="6"/>
  <c r="D8" i="6"/>
  <c r="C8" i="6"/>
  <c r="L7" i="6"/>
  <c r="M7" i="6" s="1"/>
  <c r="I7" i="6"/>
  <c r="H7" i="6"/>
  <c r="G7" i="6"/>
  <c r="F7" i="6"/>
  <c r="E7" i="6"/>
  <c r="D7" i="6"/>
  <c r="C7" i="6"/>
  <c r="L6" i="6"/>
  <c r="M6" i="6" s="1"/>
  <c r="I6" i="6"/>
  <c r="H6" i="6"/>
  <c r="G6" i="6"/>
  <c r="F6" i="6"/>
  <c r="E6" i="6"/>
  <c r="D6" i="6"/>
  <c r="C6" i="6"/>
  <c r="L5" i="6"/>
  <c r="M5" i="6" s="1"/>
  <c r="I5" i="6"/>
  <c r="H5" i="6"/>
  <c r="G5" i="6"/>
  <c r="F5" i="6"/>
  <c r="E5" i="6"/>
  <c r="D5" i="6"/>
  <c r="C5" i="6"/>
  <c r="L4" i="6"/>
  <c r="M4" i="6" s="1"/>
  <c r="I4" i="6"/>
  <c r="H4" i="6"/>
  <c r="G4" i="6"/>
  <c r="F4" i="6"/>
  <c r="E4" i="6"/>
  <c r="D4" i="6"/>
  <c r="C4" i="6"/>
  <c r="I3" i="6"/>
  <c r="H3" i="6"/>
  <c r="G3" i="6"/>
  <c r="F3" i="6"/>
  <c r="E3" i="6"/>
  <c r="D3" i="6"/>
  <c r="C3" i="6"/>
  <c r="G2" i="6"/>
  <c r="F2" i="6"/>
  <c r="E2" i="6"/>
  <c r="D2" i="6"/>
  <c r="J14" i="2" s="1"/>
  <c r="C2" i="6"/>
  <c r="F1430" i="5"/>
  <c r="G1430" i="5" s="1"/>
  <c r="F1418" i="5"/>
  <c r="G1418" i="5" s="1"/>
  <c r="F1406" i="5"/>
  <c r="G1406" i="5" s="1"/>
  <c r="F1394" i="5"/>
  <c r="G1394" i="5" s="1"/>
  <c r="F1382" i="5"/>
  <c r="G1382" i="5" s="1"/>
  <c r="F1370" i="5"/>
  <c r="G1370" i="5" s="1"/>
  <c r="F1358" i="5"/>
  <c r="G1358" i="5" s="1"/>
  <c r="F1346" i="5"/>
  <c r="G1346" i="5" s="1"/>
  <c r="F1334" i="5"/>
  <c r="G1334" i="5" s="1"/>
  <c r="F1322" i="5"/>
  <c r="G1322" i="5" s="1"/>
  <c r="F1310" i="5"/>
  <c r="G1310" i="5" s="1"/>
  <c r="F1298" i="5"/>
  <c r="G1298" i="5" s="1"/>
  <c r="F1286" i="5"/>
  <c r="G1286" i="5" s="1"/>
  <c r="F1274" i="5"/>
  <c r="G1274" i="5" s="1"/>
  <c r="F1262" i="5"/>
  <c r="G1262" i="5" s="1"/>
  <c r="F1250" i="5"/>
  <c r="G1250" i="5" s="1"/>
  <c r="F1238" i="5"/>
  <c r="G1238" i="5" s="1"/>
  <c r="F1226" i="5"/>
  <c r="G1226" i="5" s="1"/>
  <c r="F1214" i="5"/>
  <c r="G1214" i="5" s="1"/>
  <c r="F1202" i="5"/>
  <c r="G1202" i="5" s="1"/>
  <c r="F1190" i="5"/>
  <c r="G1190" i="5" s="1"/>
  <c r="F1178" i="5"/>
  <c r="G1178" i="5" s="1"/>
  <c r="F1166" i="5"/>
  <c r="G1166" i="5" s="1"/>
  <c r="F1154" i="5"/>
  <c r="G1154" i="5" s="1"/>
  <c r="F1142" i="5"/>
  <c r="G1142" i="5" s="1"/>
  <c r="F1130" i="5"/>
  <c r="G1130" i="5" s="1"/>
  <c r="F1131" i="5" s="1"/>
  <c r="G1131" i="5" s="1"/>
  <c r="F1132" i="5" s="1"/>
  <c r="G1132" i="5" s="1"/>
  <c r="F1133" i="5" s="1"/>
  <c r="G1133" i="5" s="1"/>
  <c r="F1134" i="5" s="1"/>
  <c r="G1134" i="5" s="1"/>
  <c r="F1135" i="5" s="1"/>
  <c r="G1135" i="5" s="1"/>
  <c r="F1136" i="5" s="1"/>
  <c r="G1136" i="5" s="1"/>
  <c r="F1137" i="5" s="1"/>
  <c r="G1137" i="5" s="1"/>
  <c r="F1138" i="5" s="1"/>
  <c r="G1138" i="5" s="1"/>
  <c r="F1139" i="5" s="1"/>
  <c r="G1139" i="5" s="1"/>
  <c r="F1140" i="5" s="1"/>
  <c r="G1140" i="5" s="1"/>
  <c r="F1141" i="5" s="1"/>
  <c r="G1141" i="5" s="1"/>
  <c r="F1118" i="5"/>
  <c r="G1118" i="5" s="1"/>
  <c r="G1106" i="5"/>
  <c r="F1106" i="5"/>
  <c r="F1094" i="5"/>
  <c r="G1094" i="5" s="1"/>
  <c r="F1082" i="5"/>
  <c r="G1082" i="5" s="1"/>
  <c r="F1070" i="5"/>
  <c r="G1070" i="5" s="1"/>
  <c r="F1071" i="5" s="1"/>
  <c r="G1071" i="5" s="1"/>
  <c r="F1072" i="5" s="1"/>
  <c r="G1072" i="5" s="1"/>
  <c r="F1073" i="5" s="1"/>
  <c r="G1073" i="5" s="1"/>
  <c r="F1074" i="5" s="1"/>
  <c r="G1074" i="5" s="1"/>
  <c r="F1075" i="5" s="1"/>
  <c r="G1075" i="5" s="1"/>
  <c r="F1076" i="5" s="1"/>
  <c r="G1076" i="5" s="1"/>
  <c r="F1077" i="5" s="1"/>
  <c r="G1077" i="5" s="1"/>
  <c r="F1078" i="5" s="1"/>
  <c r="G1078" i="5" s="1"/>
  <c r="F1079" i="5" s="1"/>
  <c r="G1079" i="5" s="1"/>
  <c r="F1080" i="5" s="1"/>
  <c r="G1080" i="5" s="1"/>
  <c r="F1081" i="5" s="1"/>
  <c r="G1081" i="5" s="1"/>
  <c r="F1058" i="5"/>
  <c r="G1058" i="5" s="1"/>
  <c r="F1046" i="5"/>
  <c r="G1046" i="5" s="1"/>
  <c r="F1034" i="5"/>
  <c r="G1034" i="5" s="1"/>
  <c r="F1022" i="5"/>
  <c r="G1022" i="5" s="1"/>
  <c r="F1010" i="5"/>
  <c r="G1010" i="5" s="1"/>
  <c r="F998" i="5"/>
  <c r="G998" i="5" s="1"/>
  <c r="F986" i="5"/>
  <c r="G986" i="5" s="1"/>
  <c r="F974" i="5"/>
  <c r="G974" i="5" s="1"/>
  <c r="F962" i="5"/>
  <c r="G962" i="5" s="1"/>
  <c r="F950" i="5"/>
  <c r="G950" i="5" s="1"/>
  <c r="F938" i="5"/>
  <c r="G938" i="5" s="1"/>
  <c r="F926" i="5"/>
  <c r="G926" i="5" s="1"/>
  <c r="F914" i="5"/>
  <c r="G914" i="5" s="1"/>
  <c r="F902" i="5"/>
  <c r="G902" i="5" s="1"/>
  <c r="F890" i="5"/>
  <c r="G890" i="5" s="1"/>
  <c r="F878" i="5"/>
  <c r="G878" i="5" s="1"/>
  <c r="F866" i="5"/>
  <c r="G866" i="5" s="1"/>
  <c r="F867" i="5" s="1"/>
  <c r="G867" i="5" s="1"/>
  <c r="F868" i="5" s="1"/>
  <c r="G868" i="5" s="1"/>
  <c r="F869" i="5" s="1"/>
  <c r="G869" i="5" s="1"/>
  <c r="F870" i="5" s="1"/>
  <c r="G870" i="5" s="1"/>
  <c r="F871" i="5" s="1"/>
  <c r="G871" i="5" s="1"/>
  <c r="F872" i="5" s="1"/>
  <c r="G872" i="5" s="1"/>
  <c r="F873" i="5" s="1"/>
  <c r="G873" i="5" s="1"/>
  <c r="F874" i="5" s="1"/>
  <c r="G874" i="5" s="1"/>
  <c r="F875" i="5" s="1"/>
  <c r="G875" i="5" s="1"/>
  <c r="F876" i="5" s="1"/>
  <c r="G876" i="5" s="1"/>
  <c r="F877" i="5" s="1"/>
  <c r="G877" i="5" s="1"/>
  <c r="F854" i="5"/>
  <c r="G854" i="5" s="1"/>
  <c r="F855" i="5" s="1"/>
  <c r="G855" i="5" s="1"/>
  <c r="F856" i="5" s="1"/>
  <c r="G856" i="5" s="1"/>
  <c r="F857" i="5" s="1"/>
  <c r="G857" i="5" s="1"/>
  <c r="F858" i="5" s="1"/>
  <c r="G858" i="5" s="1"/>
  <c r="F859" i="5" s="1"/>
  <c r="G859" i="5" s="1"/>
  <c r="F860" i="5" s="1"/>
  <c r="G860" i="5" s="1"/>
  <c r="F861" i="5" s="1"/>
  <c r="G861" i="5" s="1"/>
  <c r="F862" i="5" s="1"/>
  <c r="G862" i="5" s="1"/>
  <c r="F863" i="5" s="1"/>
  <c r="G863" i="5" s="1"/>
  <c r="F864" i="5" s="1"/>
  <c r="G864" i="5" s="1"/>
  <c r="F865" i="5" s="1"/>
  <c r="G865" i="5" s="1"/>
  <c r="F842" i="5"/>
  <c r="G842" i="5" s="1"/>
  <c r="F843" i="5" s="1"/>
  <c r="G843" i="5" s="1"/>
  <c r="F844" i="5" s="1"/>
  <c r="G844" i="5" s="1"/>
  <c r="F845" i="5" s="1"/>
  <c r="G845" i="5" s="1"/>
  <c r="F846" i="5" s="1"/>
  <c r="G846" i="5" s="1"/>
  <c r="F847" i="5" s="1"/>
  <c r="G847" i="5" s="1"/>
  <c r="F848" i="5" s="1"/>
  <c r="G848" i="5" s="1"/>
  <c r="F849" i="5" s="1"/>
  <c r="G849" i="5" s="1"/>
  <c r="F850" i="5" s="1"/>
  <c r="G850" i="5" s="1"/>
  <c r="F851" i="5" s="1"/>
  <c r="G851" i="5" s="1"/>
  <c r="F852" i="5" s="1"/>
  <c r="G852" i="5" s="1"/>
  <c r="F853" i="5" s="1"/>
  <c r="G853" i="5" s="1"/>
  <c r="F830" i="5"/>
  <c r="G830" i="5" s="1"/>
  <c r="F831" i="5" s="1"/>
  <c r="G831" i="5" s="1"/>
  <c r="F832" i="5" s="1"/>
  <c r="G832" i="5" s="1"/>
  <c r="F833" i="5" s="1"/>
  <c r="G833" i="5" s="1"/>
  <c r="F834" i="5" s="1"/>
  <c r="G834" i="5" s="1"/>
  <c r="F835" i="5" s="1"/>
  <c r="G835" i="5" s="1"/>
  <c r="F836" i="5" s="1"/>
  <c r="G836" i="5" s="1"/>
  <c r="F837" i="5" s="1"/>
  <c r="G837" i="5" s="1"/>
  <c r="F838" i="5" s="1"/>
  <c r="G838" i="5" s="1"/>
  <c r="F839" i="5" s="1"/>
  <c r="G839" i="5" s="1"/>
  <c r="F840" i="5" s="1"/>
  <c r="G840" i="5" s="1"/>
  <c r="F841" i="5" s="1"/>
  <c r="G841" i="5" s="1"/>
  <c r="F818" i="5"/>
  <c r="G818" i="5" s="1"/>
  <c r="F806" i="5"/>
  <c r="G806" i="5" s="1"/>
  <c r="F794" i="5"/>
  <c r="G794" i="5" s="1"/>
  <c r="F782" i="5"/>
  <c r="G782" i="5" s="1"/>
  <c r="F783" i="5" s="1"/>
  <c r="G783" i="5" s="1"/>
  <c r="F784" i="5" s="1"/>
  <c r="G784" i="5" s="1"/>
  <c r="F785" i="5" s="1"/>
  <c r="G785" i="5" s="1"/>
  <c r="F786" i="5" s="1"/>
  <c r="G786" i="5" s="1"/>
  <c r="F787" i="5" s="1"/>
  <c r="G787" i="5" s="1"/>
  <c r="F788" i="5" s="1"/>
  <c r="G788" i="5" s="1"/>
  <c r="F789" i="5" s="1"/>
  <c r="G789" i="5" s="1"/>
  <c r="F790" i="5" s="1"/>
  <c r="G790" i="5" s="1"/>
  <c r="F791" i="5" s="1"/>
  <c r="G791" i="5" s="1"/>
  <c r="F792" i="5" s="1"/>
  <c r="G792" i="5" s="1"/>
  <c r="F793" i="5" s="1"/>
  <c r="G793" i="5" s="1"/>
  <c r="F770" i="5"/>
  <c r="G770" i="5" s="1"/>
  <c r="F771" i="5" s="1"/>
  <c r="G771" i="5" s="1"/>
  <c r="F772" i="5" s="1"/>
  <c r="G772" i="5" s="1"/>
  <c r="F773" i="5" s="1"/>
  <c r="G773" i="5" s="1"/>
  <c r="F774" i="5" s="1"/>
  <c r="G774" i="5" s="1"/>
  <c r="F775" i="5" s="1"/>
  <c r="G775" i="5" s="1"/>
  <c r="F776" i="5" s="1"/>
  <c r="G776" i="5" s="1"/>
  <c r="F777" i="5" s="1"/>
  <c r="G777" i="5" s="1"/>
  <c r="F778" i="5" s="1"/>
  <c r="G778" i="5" s="1"/>
  <c r="F779" i="5" s="1"/>
  <c r="G779" i="5" s="1"/>
  <c r="F780" i="5" s="1"/>
  <c r="G780" i="5" s="1"/>
  <c r="F781" i="5" s="1"/>
  <c r="G781" i="5" s="1"/>
  <c r="F758" i="5"/>
  <c r="G758" i="5" s="1"/>
  <c r="F746" i="5"/>
  <c r="G746" i="5" s="1"/>
  <c r="F734" i="5"/>
  <c r="G734" i="5" s="1"/>
  <c r="F722" i="5"/>
  <c r="G722" i="5" s="1"/>
  <c r="F710" i="5"/>
  <c r="G710" i="5" s="1"/>
  <c r="F698" i="5"/>
  <c r="G698" i="5" s="1"/>
  <c r="F686" i="5"/>
  <c r="G686" i="5" s="1"/>
  <c r="F674" i="5"/>
  <c r="G674" i="5" s="1"/>
  <c r="F662" i="5"/>
  <c r="G662" i="5" s="1"/>
  <c r="F650" i="5"/>
  <c r="G650" i="5" s="1"/>
  <c r="F638" i="5"/>
  <c r="G638" i="5" s="1"/>
  <c r="F626" i="5"/>
  <c r="G626" i="5" s="1"/>
  <c r="G614" i="5"/>
  <c r="F614" i="5"/>
  <c r="F602" i="5"/>
  <c r="G602" i="5" s="1"/>
  <c r="F590" i="5"/>
  <c r="G590" i="5" s="1"/>
  <c r="F578" i="5"/>
  <c r="G578" i="5" s="1"/>
  <c r="F566" i="5"/>
  <c r="G566" i="5" s="1"/>
  <c r="F554" i="5"/>
  <c r="G554" i="5" s="1"/>
  <c r="F542" i="5"/>
  <c r="G542" i="5" s="1"/>
  <c r="F543" i="5" s="1"/>
  <c r="G543" i="5" s="1"/>
  <c r="F544" i="5" s="1"/>
  <c r="G544" i="5" s="1"/>
  <c r="F545" i="5" s="1"/>
  <c r="G545" i="5" s="1"/>
  <c r="F546" i="5" s="1"/>
  <c r="G546" i="5" s="1"/>
  <c r="F547" i="5" s="1"/>
  <c r="G547" i="5" s="1"/>
  <c r="F548" i="5" s="1"/>
  <c r="G548" i="5" s="1"/>
  <c r="F549" i="5" s="1"/>
  <c r="G549" i="5" s="1"/>
  <c r="F550" i="5" s="1"/>
  <c r="G550" i="5" s="1"/>
  <c r="F551" i="5" s="1"/>
  <c r="G551" i="5" s="1"/>
  <c r="F552" i="5" s="1"/>
  <c r="G552" i="5" s="1"/>
  <c r="F553" i="5" s="1"/>
  <c r="G553" i="5" s="1"/>
  <c r="F530" i="5"/>
  <c r="G530" i="5" s="1"/>
  <c r="F531" i="5" s="1"/>
  <c r="G531" i="5" s="1"/>
  <c r="F532" i="5" s="1"/>
  <c r="G532" i="5" s="1"/>
  <c r="F533" i="5" s="1"/>
  <c r="G533" i="5" s="1"/>
  <c r="F534" i="5" s="1"/>
  <c r="G534" i="5" s="1"/>
  <c r="F535" i="5" s="1"/>
  <c r="G535" i="5" s="1"/>
  <c r="F536" i="5" s="1"/>
  <c r="G536" i="5" s="1"/>
  <c r="F537" i="5" s="1"/>
  <c r="G537" i="5" s="1"/>
  <c r="F538" i="5" s="1"/>
  <c r="G538" i="5" s="1"/>
  <c r="F539" i="5" s="1"/>
  <c r="G539" i="5" s="1"/>
  <c r="F540" i="5" s="1"/>
  <c r="G540" i="5" s="1"/>
  <c r="F541" i="5" s="1"/>
  <c r="G541" i="5" s="1"/>
  <c r="F518" i="5"/>
  <c r="G518" i="5" s="1"/>
  <c r="F519" i="5" s="1"/>
  <c r="G519" i="5" s="1"/>
  <c r="F520" i="5" s="1"/>
  <c r="G520" i="5" s="1"/>
  <c r="F521" i="5" s="1"/>
  <c r="G521" i="5" s="1"/>
  <c r="F522" i="5" s="1"/>
  <c r="G522" i="5" s="1"/>
  <c r="F523" i="5" s="1"/>
  <c r="G523" i="5" s="1"/>
  <c r="F524" i="5" s="1"/>
  <c r="G524" i="5" s="1"/>
  <c r="F525" i="5" s="1"/>
  <c r="G525" i="5" s="1"/>
  <c r="F526" i="5" s="1"/>
  <c r="G526" i="5" s="1"/>
  <c r="F527" i="5" s="1"/>
  <c r="G527" i="5" s="1"/>
  <c r="F528" i="5" s="1"/>
  <c r="G528" i="5" s="1"/>
  <c r="F529" i="5" s="1"/>
  <c r="G529" i="5" s="1"/>
  <c r="F506" i="5"/>
  <c r="G506" i="5" s="1"/>
  <c r="F507" i="5" s="1"/>
  <c r="G507" i="5" s="1"/>
  <c r="F508" i="5" s="1"/>
  <c r="G508" i="5" s="1"/>
  <c r="F509" i="5" s="1"/>
  <c r="G509" i="5" s="1"/>
  <c r="F510" i="5" s="1"/>
  <c r="G510" i="5" s="1"/>
  <c r="F511" i="5" s="1"/>
  <c r="G511" i="5" s="1"/>
  <c r="F512" i="5" s="1"/>
  <c r="G512" i="5" s="1"/>
  <c r="F513" i="5" s="1"/>
  <c r="G513" i="5" s="1"/>
  <c r="F514" i="5" s="1"/>
  <c r="G514" i="5" s="1"/>
  <c r="F515" i="5" s="1"/>
  <c r="G515" i="5" s="1"/>
  <c r="F516" i="5" s="1"/>
  <c r="G516" i="5" s="1"/>
  <c r="F517" i="5" s="1"/>
  <c r="G517" i="5" s="1"/>
  <c r="F494" i="5"/>
  <c r="G494" i="5" s="1"/>
  <c r="F495" i="5" s="1"/>
  <c r="G495" i="5" s="1"/>
  <c r="F496" i="5" s="1"/>
  <c r="G496" i="5" s="1"/>
  <c r="F497" i="5" s="1"/>
  <c r="G497" i="5" s="1"/>
  <c r="F498" i="5" s="1"/>
  <c r="G498" i="5" s="1"/>
  <c r="F499" i="5" s="1"/>
  <c r="G499" i="5" s="1"/>
  <c r="F500" i="5" s="1"/>
  <c r="G500" i="5" s="1"/>
  <c r="F501" i="5" s="1"/>
  <c r="G501" i="5" s="1"/>
  <c r="F502" i="5" s="1"/>
  <c r="G502" i="5" s="1"/>
  <c r="F503" i="5" s="1"/>
  <c r="G503" i="5" s="1"/>
  <c r="F504" i="5" s="1"/>
  <c r="G504" i="5" s="1"/>
  <c r="F505" i="5" s="1"/>
  <c r="G505" i="5" s="1"/>
  <c r="F482" i="5"/>
  <c r="G482" i="5" s="1"/>
  <c r="F470" i="5"/>
  <c r="G470" i="5" s="1"/>
  <c r="F471" i="5" s="1"/>
  <c r="G471" i="5" s="1"/>
  <c r="F472" i="5" s="1"/>
  <c r="G472" i="5" s="1"/>
  <c r="F473" i="5" s="1"/>
  <c r="G473" i="5" s="1"/>
  <c r="F474" i="5" s="1"/>
  <c r="G474" i="5" s="1"/>
  <c r="F475" i="5" s="1"/>
  <c r="G475" i="5" s="1"/>
  <c r="F476" i="5" s="1"/>
  <c r="G476" i="5" s="1"/>
  <c r="F477" i="5" s="1"/>
  <c r="G477" i="5" s="1"/>
  <c r="F478" i="5" s="1"/>
  <c r="G478" i="5" s="1"/>
  <c r="F479" i="5" s="1"/>
  <c r="G479" i="5" s="1"/>
  <c r="F480" i="5" s="1"/>
  <c r="G480" i="5" s="1"/>
  <c r="F481" i="5" s="1"/>
  <c r="G481" i="5" s="1"/>
  <c r="F458" i="5"/>
  <c r="G458" i="5" s="1"/>
  <c r="F446" i="5"/>
  <c r="G446" i="5" s="1"/>
  <c r="F447" i="5" s="1"/>
  <c r="G447" i="5" s="1"/>
  <c r="F448" i="5" s="1"/>
  <c r="G448" i="5" s="1"/>
  <c r="F449" i="5" s="1"/>
  <c r="G449" i="5" s="1"/>
  <c r="F450" i="5" s="1"/>
  <c r="G450" i="5" s="1"/>
  <c r="F451" i="5" s="1"/>
  <c r="G451" i="5" s="1"/>
  <c r="F452" i="5" s="1"/>
  <c r="G452" i="5" s="1"/>
  <c r="F453" i="5" s="1"/>
  <c r="G453" i="5" s="1"/>
  <c r="F454" i="5" s="1"/>
  <c r="G454" i="5" s="1"/>
  <c r="F455" i="5" s="1"/>
  <c r="G455" i="5" s="1"/>
  <c r="F456" i="5" s="1"/>
  <c r="G456" i="5" s="1"/>
  <c r="F457" i="5" s="1"/>
  <c r="G457" i="5" s="1"/>
  <c r="F434" i="5"/>
  <c r="G434" i="5" s="1"/>
  <c r="F435" i="5" s="1"/>
  <c r="G435" i="5" s="1"/>
  <c r="F436" i="5" s="1"/>
  <c r="G436" i="5" s="1"/>
  <c r="F437" i="5" s="1"/>
  <c r="G437" i="5" s="1"/>
  <c r="F438" i="5" s="1"/>
  <c r="G438" i="5" s="1"/>
  <c r="F439" i="5" s="1"/>
  <c r="G439" i="5" s="1"/>
  <c r="F440" i="5" s="1"/>
  <c r="G440" i="5" s="1"/>
  <c r="F441" i="5" s="1"/>
  <c r="G441" i="5" s="1"/>
  <c r="F442" i="5" s="1"/>
  <c r="G442" i="5" s="1"/>
  <c r="F443" i="5" s="1"/>
  <c r="G443" i="5" s="1"/>
  <c r="F444" i="5" s="1"/>
  <c r="G444" i="5" s="1"/>
  <c r="F445" i="5" s="1"/>
  <c r="G445" i="5" s="1"/>
  <c r="F422" i="5"/>
  <c r="G422" i="5" s="1"/>
  <c r="F423" i="5" s="1"/>
  <c r="G423" i="5" s="1"/>
  <c r="F424" i="5" s="1"/>
  <c r="G424" i="5" s="1"/>
  <c r="F425" i="5" s="1"/>
  <c r="G425" i="5" s="1"/>
  <c r="F426" i="5" s="1"/>
  <c r="G426" i="5" s="1"/>
  <c r="F427" i="5" s="1"/>
  <c r="G427" i="5" s="1"/>
  <c r="F428" i="5" s="1"/>
  <c r="G428" i="5" s="1"/>
  <c r="F429" i="5" s="1"/>
  <c r="G429" i="5" s="1"/>
  <c r="F430" i="5" s="1"/>
  <c r="G430" i="5" s="1"/>
  <c r="F431" i="5" s="1"/>
  <c r="G431" i="5" s="1"/>
  <c r="F432" i="5" s="1"/>
  <c r="G432" i="5" s="1"/>
  <c r="F433" i="5" s="1"/>
  <c r="G433" i="5" s="1"/>
  <c r="F410" i="5"/>
  <c r="G410" i="5" s="1"/>
  <c r="F411" i="5" s="1"/>
  <c r="G411" i="5" s="1"/>
  <c r="F412" i="5" s="1"/>
  <c r="G412" i="5" s="1"/>
  <c r="F413" i="5" s="1"/>
  <c r="G413" i="5" s="1"/>
  <c r="F414" i="5" s="1"/>
  <c r="G414" i="5" s="1"/>
  <c r="F415" i="5" s="1"/>
  <c r="G415" i="5" s="1"/>
  <c r="F416" i="5" s="1"/>
  <c r="G416" i="5" s="1"/>
  <c r="F417" i="5" s="1"/>
  <c r="G417" i="5" s="1"/>
  <c r="F418" i="5" s="1"/>
  <c r="G418" i="5" s="1"/>
  <c r="F419" i="5" s="1"/>
  <c r="G419" i="5" s="1"/>
  <c r="F420" i="5" s="1"/>
  <c r="G420" i="5" s="1"/>
  <c r="F421" i="5" s="1"/>
  <c r="G421" i="5" s="1"/>
  <c r="F398" i="5"/>
  <c r="G398" i="5" s="1"/>
  <c r="F399" i="5" s="1"/>
  <c r="G399" i="5" s="1"/>
  <c r="F400" i="5" s="1"/>
  <c r="G400" i="5" s="1"/>
  <c r="F401" i="5" s="1"/>
  <c r="G401" i="5" s="1"/>
  <c r="F402" i="5" s="1"/>
  <c r="G402" i="5" s="1"/>
  <c r="F403" i="5" s="1"/>
  <c r="G403" i="5" s="1"/>
  <c r="F404" i="5" s="1"/>
  <c r="G404" i="5" s="1"/>
  <c r="F405" i="5" s="1"/>
  <c r="G405" i="5" s="1"/>
  <c r="F406" i="5" s="1"/>
  <c r="G406" i="5" s="1"/>
  <c r="F407" i="5" s="1"/>
  <c r="G407" i="5" s="1"/>
  <c r="F408" i="5" s="1"/>
  <c r="G408" i="5" s="1"/>
  <c r="F409" i="5" s="1"/>
  <c r="G409" i="5" s="1"/>
  <c r="F386" i="5"/>
  <c r="G386" i="5" s="1"/>
  <c r="F374" i="5"/>
  <c r="G374" i="5" s="1"/>
  <c r="F375" i="5" s="1"/>
  <c r="G375" i="5" s="1"/>
  <c r="F376" i="5" s="1"/>
  <c r="G376" i="5" s="1"/>
  <c r="F377" i="5" s="1"/>
  <c r="G377" i="5" s="1"/>
  <c r="F378" i="5" s="1"/>
  <c r="G378" i="5" s="1"/>
  <c r="F379" i="5" s="1"/>
  <c r="G379" i="5" s="1"/>
  <c r="F380" i="5" s="1"/>
  <c r="G380" i="5" s="1"/>
  <c r="F381" i="5" s="1"/>
  <c r="G381" i="5" s="1"/>
  <c r="F382" i="5" s="1"/>
  <c r="G382" i="5" s="1"/>
  <c r="F383" i="5" s="1"/>
  <c r="G383" i="5" s="1"/>
  <c r="F384" i="5" s="1"/>
  <c r="G384" i="5" s="1"/>
  <c r="F385" i="5" s="1"/>
  <c r="G385" i="5" s="1"/>
  <c r="F362" i="5"/>
  <c r="G362" i="5" s="1"/>
  <c r="F350" i="5"/>
  <c r="G350" i="5" s="1"/>
  <c r="F338" i="5"/>
  <c r="G338" i="5" s="1"/>
  <c r="F326" i="5"/>
  <c r="G326" i="5" s="1"/>
  <c r="F327" i="5" s="1"/>
  <c r="G327" i="5" s="1"/>
  <c r="F328" i="5" s="1"/>
  <c r="G328" i="5" s="1"/>
  <c r="F329" i="5" s="1"/>
  <c r="G329" i="5" s="1"/>
  <c r="F330" i="5" s="1"/>
  <c r="G330" i="5" s="1"/>
  <c r="F331" i="5" s="1"/>
  <c r="G331" i="5" s="1"/>
  <c r="F332" i="5" s="1"/>
  <c r="G332" i="5" s="1"/>
  <c r="F333" i="5" s="1"/>
  <c r="G333" i="5" s="1"/>
  <c r="F334" i="5" s="1"/>
  <c r="G334" i="5" s="1"/>
  <c r="F335" i="5" s="1"/>
  <c r="G335" i="5" s="1"/>
  <c r="F336" i="5" s="1"/>
  <c r="G336" i="5" s="1"/>
  <c r="F337" i="5" s="1"/>
  <c r="G337" i="5" s="1"/>
  <c r="F314" i="5"/>
  <c r="G314" i="5" s="1"/>
  <c r="F315" i="5" s="1"/>
  <c r="G315" i="5" s="1"/>
  <c r="F316" i="5" s="1"/>
  <c r="G316" i="5" s="1"/>
  <c r="F317" i="5" s="1"/>
  <c r="G317" i="5" s="1"/>
  <c r="F318" i="5" s="1"/>
  <c r="G318" i="5" s="1"/>
  <c r="F319" i="5" s="1"/>
  <c r="G319" i="5" s="1"/>
  <c r="F320" i="5" s="1"/>
  <c r="G320" i="5" s="1"/>
  <c r="F321" i="5" s="1"/>
  <c r="G321" i="5" s="1"/>
  <c r="F322" i="5" s="1"/>
  <c r="G322" i="5" s="1"/>
  <c r="F323" i="5" s="1"/>
  <c r="G323" i="5" s="1"/>
  <c r="F324" i="5" s="1"/>
  <c r="G324" i="5" s="1"/>
  <c r="F325" i="5" s="1"/>
  <c r="G325" i="5" s="1"/>
  <c r="F302" i="5"/>
  <c r="G302" i="5" s="1"/>
  <c r="F290" i="5"/>
  <c r="G290" i="5" s="1"/>
  <c r="F278" i="5"/>
  <c r="G278" i="5" s="1"/>
  <c r="F279" i="5" s="1"/>
  <c r="G279" i="5" s="1"/>
  <c r="F280" i="5" s="1"/>
  <c r="G280" i="5" s="1"/>
  <c r="F281" i="5" s="1"/>
  <c r="G281" i="5" s="1"/>
  <c r="F282" i="5" s="1"/>
  <c r="G282" i="5" s="1"/>
  <c r="F283" i="5" s="1"/>
  <c r="G283" i="5" s="1"/>
  <c r="F284" i="5" s="1"/>
  <c r="G284" i="5" s="1"/>
  <c r="F285" i="5" s="1"/>
  <c r="G285" i="5" s="1"/>
  <c r="F286" i="5" s="1"/>
  <c r="G286" i="5" s="1"/>
  <c r="F287" i="5" s="1"/>
  <c r="G287" i="5" s="1"/>
  <c r="F288" i="5" s="1"/>
  <c r="G288" i="5" s="1"/>
  <c r="F289" i="5" s="1"/>
  <c r="G289" i="5" s="1"/>
  <c r="F266" i="5"/>
  <c r="G266" i="5" s="1"/>
  <c r="F267" i="5" s="1"/>
  <c r="G267" i="5" s="1"/>
  <c r="F268" i="5" s="1"/>
  <c r="G268" i="5" s="1"/>
  <c r="F269" i="5" s="1"/>
  <c r="G269" i="5" s="1"/>
  <c r="F270" i="5" s="1"/>
  <c r="G270" i="5" s="1"/>
  <c r="F271" i="5" s="1"/>
  <c r="G271" i="5" s="1"/>
  <c r="F272" i="5" s="1"/>
  <c r="G272" i="5" s="1"/>
  <c r="F273" i="5" s="1"/>
  <c r="G273" i="5" s="1"/>
  <c r="F274" i="5" s="1"/>
  <c r="G274" i="5" s="1"/>
  <c r="F275" i="5" s="1"/>
  <c r="G275" i="5" s="1"/>
  <c r="F276" i="5" s="1"/>
  <c r="G276" i="5" s="1"/>
  <c r="F277" i="5" s="1"/>
  <c r="G277" i="5" s="1"/>
  <c r="F254" i="5"/>
  <c r="G254" i="5" s="1"/>
  <c r="F242" i="5"/>
  <c r="G242" i="5" s="1"/>
  <c r="F243" i="5" s="1"/>
  <c r="G243" i="5" s="1"/>
  <c r="F244" i="5" s="1"/>
  <c r="G244" i="5" s="1"/>
  <c r="F245" i="5" s="1"/>
  <c r="G245" i="5" s="1"/>
  <c r="F246" i="5" s="1"/>
  <c r="G246" i="5" s="1"/>
  <c r="F247" i="5" s="1"/>
  <c r="G247" i="5" s="1"/>
  <c r="F248" i="5" s="1"/>
  <c r="G248" i="5" s="1"/>
  <c r="F249" i="5" s="1"/>
  <c r="G249" i="5" s="1"/>
  <c r="F250" i="5" s="1"/>
  <c r="G250" i="5" s="1"/>
  <c r="F251" i="5" s="1"/>
  <c r="G251" i="5" s="1"/>
  <c r="F252" i="5" s="1"/>
  <c r="G252" i="5" s="1"/>
  <c r="F253" i="5" s="1"/>
  <c r="G253" i="5" s="1"/>
  <c r="F230" i="5"/>
  <c r="G230" i="5" s="1"/>
  <c r="F231" i="5" s="1"/>
  <c r="G231" i="5" s="1"/>
  <c r="F232" i="5" s="1"/>
  <c r="G232" i="5" s="1"/>
  <c r="F233" i="5" s="1"/>
  <c r="G233" i="5" s="1"/>
  <c r="F234" i="5" s="1"/>
  <c r="G234" i="5" s="1"/>
  <c r="F235" i="5" s="1"/>
  <c r="G235" i="5" s="1"/>
  <c r="F236" i="5" s="1"/>
  <c r="G236" i="5" s="1"/>
  <c r="F237" i="5" s="1"/>
  <c r="G237" i="5" s="1"/>
  <c r="F238" i="5" s="1"/>
  <c r="G238" i="5" s="1"/>
  <c r="F239" i="5" s="1"/>
  <c r="G239" i="5" s="1"/>
  <c r="F240" i="5" s="1"/>
  <c r="G240" i="5" s="1"/>
  <c r="F241" i="5" s="1"/>
  <c r="G241" i="5" s="1"/>
  <c r="F218" i="5"/>
  <c r="G218" i="5" s="1"/>
  <c r="F206" i="5"/>
  <c r="G206" i="5" s="1"/>
  <c r="F194" i="5"/>
  <c r="G194" i="5" s="1"/>
  <c r="F195" i="5" s="1"/>
  <c r="G195" i="5" s="1"/>
  <c r="F196" i="5" s="1"/>
  <c r="G196" i="5" s="1"/>
  <c r="F197" i="5" s="1"/>
  <c r="G197" i="5" s="1"/>
  <c r="F198" i="5" s="1"/>
  <c r="G198" i="5" s="1"/>
  <c r="F199" i="5" s="1"/>
  <c r="G199" i="5" s="1"/>
  <c r="F200" i="5" s="1"/>
  <c r="G200" i="5" s="1"/>
  <c r="F201" i="5" s="1"/>
  <c r="G201" i="5" s="1"/>
  <c r="F202" i="5" s="1"/>
  <c r="G202" i="5" s="1"/>
  <c r="F203" i="5" s="1"/>
  <c r="G203" i="5" s="1"/>
  <c r="F204" i="5" s="1"/>
  <c r="G204" i="5" s="1"/>
  <c r="F205" i="5" s="1"/>
  <c r="G205" i="5" s="1"/>
  <c r="F182" i="5"/>
  <c r="G182" i="5" s="1"/>
  <c r="F183" i="5" s="1"/>
  <c r="G183" i="5" s="1"/>
  <c r="F184" i="5" s="1"/>
  <c r="G184" i="5" s="1"/>
  <c r="F185" i="5" s="1"/>
  <c r="G185" i="5" s="1"/>
  <c r="F186" i="5" s="1"/>
  <c r="G186" i="5" s="1"/>
  <c r="F187" i="5" s="1"/>
  <c r="G187" i="5" s="1"/>
  <c r="F188" i="5" s="1"/>
  <c r="G188" i="5" s="1"/>
  <c r="F189" i="5" s="1"/>
  <c r="G189" i="5" s="1"/>
  <c r="F190" i="5" s="1"/>
  <c r="G190" i="5" s="1"/>
  <c r="F191" i="5" s="1"/>
  <c r="G191" i="5" s="1"/>
  <c r="F192" i="5" s="1"/>
  <c r="G192" i="5" s="1"/>
  <c r="F193" i="5" s="1"/>
  <c r="G193" i="5" s="1"/>
  <c r="F170" i="5"/>
  <c r="G170" i="5" s="1"/>
  <c r="F158" i="5"/>
  <c r="G158" i="5" s="1"/>
  <c r="F159" i="5" s="1"/>
  <c r="G159" i="5" s="1"/>
  <c r="F160" i="5" s="1"/>
  <c r="G160" i="5" s="1"/>
  <c r="F161" i="5" s="1"/>
  <c r="G161" i="5" s="1"/>
  <c r="F162" i="5" s="1"/>
  <c r="G162" i="5" s="1"/>
  <c r="F163" i="5" s="1"/>
  <c r="G163" i="5" s="1"/>
  <c r="F164" i="5" s="1"/>
  <c r="G164" i="5" s="1"/>
  <c r="F165" i="5" s="1"/>
  <c r="G165" i="5" s="1"/>
  <c r="F166" i="5" s="1"/>
  <c r="G166" i="5" s="1"/>
  <c r="F167" i="5" s="1"/>
  <c r="G167" i="5" s="1"/>
  <c r="F168" i="5" s="1"/>
  <c r="G168" i="5" s="1"/>
  <c r="F169" i="5" s="1"/>
  <c r="G169" i="5" s="1"/>
  <c r="F146" i="5"/>
  <c r="G146" i="5" s="1"/>
  <c r="F147" i="5" s="1"/>
  <c r="G147" i="5" s="1"/>
  <c r="F148" i="5" s="1"/>
  <c r="G148" i="5" s="1"/>
  <c r="F149" i="5" s="1"/>
  <c r="G149" i="5" s="1"/>
  <c r="F150" i="5" s="1"/>
  <c r="G150" i="5" s="1"/>
  <c r="F151" i="5" s="1"/>
  <c r="G151" i="5" s="1"/>
  <c r="F152" i="5" s="1"/>
  <c r="G152" i="5" s="1"/>
  <c r="F153" i="5" s="1"/>
  <c r="G153" i="5" s="1"/>
  <c r="F154" i="5" s="1"/>
  <c r="G154" i="5" s="1"/>
  <c r="F155" i="5" s="1"/>
  <c r="G155" i="5" s="1"/>
  <c r="F156" i="5" s="1"/>
  <c r="G156" i="5" s="1"/>
  <c r="F157" i="5" s="1"/>
  <c r="G157" i="5" s="1"/>
  <c r="F134" i="5"/>
  <c r="G134" i="5" s="1"/>
  <c r="F135" i="5" s="1"/>
  <c r="G135" i="5" s="1"/>
  <c r="F136" i="5" s="1"/>
  <c r="G136" i="5" s="1"/>
  <c r="F137" i="5" s="1"/>
  <c r="G137" i="5" s="1"/>
  <c r="F138" i="5" s="1"/>
  <c r="G138" i="5" s="1"/>
  <c r="F139" i="5" s="1"/>
  <c r="G139" i="5" s="1"/>
  <c r="F140" i="5" s="1"/>
  <c r="G140" i="5" s="1"/>
  <c r="F141" i="5" s="1"/>
  <c r="G141" i="5" s="1"/>
  <c r="F142" i="5" s="1"/>
  <c r="G142" i="5" s="1"/>
  <c r="F143" i="5" s="1"/>
  <c r="G143" i="5" s="1"/>
  <c r="F144" i="5" s="1"/>
  <c r="G144" i="5" s="1"/>
  <c r="F145" i="5" s="1"/>
  <c r="G145" i="5" s="1"/>
  <c r="F122" i="5"/>
  <c r="G122" i="5" s="1"/>
  <c r="F110" i="5"/>
  <c r="G110" i="5" s="1"/>
  <c r="F98" i="5"/>
  <c r="G98" i="5" s="1"/>
  <c r="F86" i="5"/>
  <c r="G86" i="5" s="1"/>
  <c r="F87" i="5" s="1"/>
  <c r="G87" i="5" s="1"/>
  <c r="F88" i="5" s="1"/>
  <c r="G88" i="5" s="1"/>
  <c r="F89" i="5" s="1"/>
  <c r="G89" i="5" s="1"/>
  <c r="F90" i="5" s="1"/>
  <c r="G90" i="5" s="1"/>
  <c r="F91" i="5" s="1"/>
  <c r="G91" i="5" s="1"/>
  <c r="F92" i="5" s="1"/>
  <c r="G92" i="5" s="1"/>
  <c r="F93" i="5" s="1"/>
  <c r="G93" i="5" s="1"/>
  <c r="F94" i="5" s="1"/>
  <c r="G94" i="5" s="1"/>
  <c r="F95" i="5" s="1"/>
  <c r="G95" i="5" s="1"/>
  <c r="F96" i="5" s="1"/>
  <c r="G96" i="5" s="1"/>
  <c r="F97" i="5" s="1"/>
  <c r="G97" i="5" s="1"/>
  <c r="F74" i="5"/>
  <c r="G74" i="5" s="1"/>
  <c r="F75" i="5" s="1"/>
  <c r="G75" i="5" s="1"/>
  <c r="F76" i="5" s="1"/>
  <c r="G76" i="5" s="1"/>
  <c r="F77" i="5" s="1"/>
  <c r="G77" i="5" s="1"/>
  <c r="F78" i="5" s="1"/>
  <c r="G78" i="5" s="1"/>
  <c r="F79" i="5" s="1"/>
  <c r="G79" i="5" s="1"/>
  <c r="F80" i="5" s="1"/>
  <c r="G80" i="5" s="1"/>
  <c r="F81" i="5" s="1"/>
  <c r="G81" i="5" s="1"/>
  <c r="F82" i="5" s="1"/>
  <c r="G82" i="5" s="1"/>
  <c r="F83" i="5" s="1"/>
  <c r="G83" i="5" s="1"/>
  <c r="F84" i="5" s="1"/>
  <c r="G84" i="5" s="1"/>
  <c r="F85" i="5" s="1"/>
  <c r="G85" i="5" s="1"/>
  <c r="F62" i="5"/>
  <c r="G62" i="5" s="1"/>
  <c r="F63" i="5" s="1"/>
  <c r="G63" i="5" s="1"/>
  <c r="F64" i="5" s="1"/>
  <c r="G64" i="5" s="1"/>
  <c r="F65" i="5" s="1"/>
  <c r="G65" i="5" s="1"/>
  <c r="F66" i="5" s="1"/>
  <c r="G66" i="5" s="1"/>
  <c r="F67" i="5" s="1"/>
  <c r="G67" i="5" s="1"/>
  <c r="F68" i="5" s="1"/>
  <c r="G68" i="5" s="1"/>
  <c r="F69" i="5" s="1"/>
  <c r="G69" i="5" s="1"/>
  <c r="F70" i="5" s="1"/>
  <c r="G70" i="5" s="1"/>
  <c r="F71" i="5" s="1"/>
  <c r="G71" i="5" s="1"/>
  <c r="F72" i="5" s="1"/>
  <c r="G72" i="5" s="1"/>
  <c r="F73" i="5" s="1"/>
  <c r="G73" i="5" s="1"/>
  <c r="F50" i="5"/>
  <c r="G50" i="5" s="1"/>
  <c r="F51" i="5" s="1"/>
  <c r="G51" i="5" s="1"/>
  <c r="F52" i="5" s="1"/>
  <c r="G52" i="5" s="1"/>
  <c r="F53" i="5" s="1"/>
  <c r="G53" i="5" s="1"/>
  <c r="F54" i="5" s="1"/>
  <c r="G54" i="5" s="1"/>
  <c r="F55" i="5" s="1"/>
  <c r="G55" i="5" s="1"/>
  <c r="F56" i="5" s="1"/>
  <c r="G56" i="5" s="1"/>
  <c r="F57" i="5" s="1"/>
  <c r="G57" i="5" s="1"/>
  <c r="F58" i="5" s="1"/>
  <c r="G58" i="5" s="1"/>
  <c r="F59" i="5" s="1"/>
  <c r="G59" i="5" s="1"/>
  <c r="F60" i="5" s="1"/>
  <c r="G60" i="5" s="1"/>
  <c r="F61" i="5" s="1"/>
  <c r="G61" i="5" s="1"/>
  <c r="F38" i="5"/>
  <c r="G38" i="5" s="1"/>
  <c r="F39" i="5" s="1"/>
  <c r="G39" i="5" s="1"/>
  <c r="F40" i="5" s="1"/>
  <c r="G40" i="5" s="1"/>
  <c r="F41" i="5" s="1"/>
  <c r="G41" i="5" s="1"/>
  <c r="F42" i="5" s="1"/>
  <c r="G42" i="5" s="1"/>
  <c r="F43" i="5" s="1"/>
  <c r="G43" i="5" s="1"/>
  <c r="F44" i="5" s="1"/>
  <c r="G44" i="5" s="1"/>
  <c r="F45" i="5" s="1"/>
  <c r="G45" i="5" s="1"/>
  <c r="F46" i="5" s="1"/>
  <c r="G46" i="5" s="1"/>
  <c r="F47" i="5" s="1"/>
  <c r="G47" i="5" s="1"/>
  <c r="F48" i="5" s="1"/>
  <c r="G48" i="5" s="1"/>
  <c r="F49" i="5" s="1"/>
  <c r="G49" i="5" s="1"/>
  <c r="F26" i="5"/>
  <c r="G26" i="5" s="1"/>
  <c r="F14" i="5"/>
  <c r="G14" i="5" s="1"/>
  <c r="G2" i="5"/>
  <c r="J101" i="6" l="1"/>
  <c r="K24" i="6"/>
  <c r="J77" i="6"/>
  <c r="K5" i="6"/>
  <c r="J19" i="6"/>
  <c r="P19" i="6" s="1"/>
  <c r="J20" i="6"/>
  <c r="J45" i="6"/>
  <c r="K77" i="6"/>
  <c r="K79" i="6"/>
  <c r="K88" i="6"/>
  <c r="J105" i="6"/>
  <c r="K110" i="6"/>
  <c r="J112" i="6"/>
  <c r="J114" i="6"/>
  <c r="K16" i="2"/>
  <c r="J113" i="6"/>
  <c r="K115" i="6"/>
  <c r="J4" i="6"/>
  <c r="J8" i="6"/>
  <c r="P8" i="6" s="1"/>
  <c r="J9" i="6"/>
  <c r="J10" i="6"/>
  <c r="J12" i="6"/>
  <c r="K13" i="6"/>
  <c r="J14" i="6"/>
  <c r="P14" i="6" s="1"/>
  <c r="K15" i="6"/>
  <c r="K16" i="6"/>
  <c r="K17" i="6"/>
  <c r="K18" i="6"/>
  <c r="K19" i="6"/>
  <c r="K20" i="6"/>
  <c r="J21" i="6"/>
  <c r="J28" i="6"/>
  <c r="P28" i="6" s="1"/>
  <c r="J29" i="6"/>
  <c r="P29" i="6" s="1"/>
  <c r="J35" i="6"/>
  <c r="P35" i="6" s="1"/>
  <c r="J36" i="6"/>
  <c r="P36" i="6" s="1"/>
  <c r="J37" i="6"/>
  <c r="J40" i="6"/>
  <c r="P40" i="6" s="1"/>
  <c r="J41" i="6"/>
  <c r="J42" i="6"/>
  <c r="J44" i="6"/>
  <c r="K47" i="6"/>
  <c r="K48" i="6"/>
  <c r="K49" i="6"/>
  <c r="K50" i="6"/>
  <c r="J51" i="6"/>
  <c r="K52" i="6"/>
  <c r="K53" i="6"/>
  <c r="K54" i="6"/>
  <c r="K55" i="6"/>
  <c r="K56" i="6"/>
  <c r="J57" i="6"/>
  <c r="P57" i="6" s="1"/>
  <c r="K59" i="6"/>
  <c r="J60" i="6"/>
  <c r="P60" i="6" s="1"/>
  <c r="J61" i="6"/>
  <c r="K62" i="6"/>
  <c r="J63" i="6"/>
  <c r="J64" i="6"/>
  <c r="J65" i="6"/>
  <c r="P65" i="6" s="1"/>
  <c r="J66" i="6"/>
  <c r="P66" i="6" s="1"/>
  <c r="K68" i="6"/>
  <c r="K69" i="6"/>
  <c r="J69" i="6"/>
  <c r="K70" i="6"/>
  <c r="J71" i="6"/>
  <c r="P71" i="6" s="1"/>
  <c r="K72" i="6"/>
  <c r="K73" i="6"/>
  <c r="J75" i="6"/>
  <c r="J76" i="6"/>
  <c r="J80" i="6"/>
  <c r="P80" i="6" s="1"/>
  <c r="K81" i="6"/>
  <c r="K82" i="6"/>
  <c r="J84" i="6"/>
  <c r="J85" i="6"/>
  <c r="P85" i="6" s="1"/>
  <c r="J91" i="6"/>
  <c r="P91" i="6" s="1"/>
  <c r="J92" i="6"/>
  <c r="J93" i="6"/>
  <c r="K94" i="6"/>
  <c r="K95" i="6"/>
  <c r="K96" i="6"/>
  <c r="K97" i="6"/>
  <c r="K98" i="6"/>
  <c r="J99" i="6"/>
  <c r="K100" i="6"/>
  <c r="K101" i="6"/>
  <c r="K102" i="6"/>
  <c r="K103" i="6"/>
  <c r="K104" i="6"/>
  <c r="J106" i="6"/>
  <c r="P106" i="6" s="1"/>
  <c r="J107" i="6"/>
  <c r="J108" i="6"/>
  <c r="K109" i="6"/>
  <c r="J110" i="6"/>
  <c r="K75" i="6"/>
  <c r="K76" i="6"/>
  <c r="K14" i="2"/>
  <c r="J43" i="6"/>
  <c r="J18" i="2"/>
  <c r="J16" i="2"/>
  <c r="K36" i="6"/>
  <c r="V36" i="6" s="1"/>
  <c r="K91" i="6"/>
  <c r="J100" i="6"/>
  <c r="P100" i="6" s="1"/>
  <c r="J13" i="6"/>
  <c r="J5" i="6"/>
  <c r="K18" i="2"/>
  <c r="K4" i="6"/>
  <c r="K63" i="6"/>
  <c r="K64" i="6"/>
  <c r="K67" i="6"/>
  <c r="J78" i="6"/>
  <c r="P78" i="6" s="1"/>
  <c r="J79" i="6"/>
  <c r="K107" i="6"/>
  <c r="J111" i="6"/>
  <c r="K116" i="6"/>
  <c r="K117" i="6"/>
  <c r="J118" i="6"/>
  <c r="K119" i="6"/>
  <c r="K120" i="6"/>
  <c r="K121" i="6"/>
  <c r="J109" i="6"/>
  <c r="J59" i="6"/>
  <c r="J3" i="6"/>
  <c r="B16" i="2"/>
  <c r="B17" i="2"/>
  <c r="J11" i="6"/>
  <c r="A5" i="2"/>
  <c r="J22" i="6"/>
  <c r="P22" i="6" s="1"/>
  <c r="J24" i="6"/>
  <c r="J25" i="6"/>
  <c r="P25" i="6" s="1"/>
  <c r="V25" i="6" s="1"/>
  <c r="K26" i="6"/>
  <c r="K27" i="6"/>
  <c r="K28" i="6"/>
  <c r="K30" i="6"/>
  <c r="K31" i="6"/>
  <c r="K32" i="6"/>
  <c r="K33" i="6"/>
  <c r="J34" i="6"/>
  <c r="K35" i="6"/>
  <c r="K80" i="6"/>
  <c r="K83" i="6"/>
  <c r="J87" i="6"/>
  <c r="J88" i="6"/>
  <c r="P88" i="6" s="1"/>
  <c r="V88" i="6" s="1"/>
  <c r="J89" i="6"/>
  <c r="K90" i="6"/>
  <c r="J53" i="6"/>
  <c r="P53" i="6" s="1"/>
  <c r="O2" i="6"/>
  <c r="B15" i="2"/>
  <c r="K25" i="6"/>
  <c r="K92" i="6"/>
  <c r="J15" i="2"/>
  <c r="J115" i="6"/>
  <c r="J83" i="6"/>
  <c r="J67" i="6"/>
  <c r="P67" i="6" s="1"/>
  <c r="J27" i="6"/>
  <c r="K58" i="6"/>
  <c r="K71" i="6"/>
  <c r="K74" i="6"/>
  <c r="K84" i="6"/>
  <c r="K85" i="6"/>
  <c r="K86" i="6"/>
  <c r="K99" i="6"/>
  <c r="K118" i="6"/>
  <c r="J2" i="6"/>
  <c r="P2" i="6" s="1"/>
  <c r="J98" i="6"/>
  <c r="J90" i="6"/>
  <c r="J82" i="6"/>
  <c r="P82" i="6" s="1"/>
  <c r="J74" i="6"/>
  <c r="J58" i="6"/>
  <c r="J50" i="6"/>
  <c r="P50" i="6" s="1"/>
  <c r="V50" i="6" s="1"/>
  <c r="J26" i="6"/>
  <c r="P26" i="6" s="1"/>
  <c r="V26" i="6" s="1"/>
  <c r="J18" i="6"/>
  <c r="P18" i="6" s="1"/>
  <c r="V18" i="6" s="1"/>
  <c r="K2" i="6"/>
  <c r="E15" i="2"/>
  <c r="J121" i="6"/>
  <c r="J97" i="6"/>
  <c r="J81" i="6"/>
  <c r="J73" i="6"/>
  <c r="P73" i="6" s="1"/>
  <c r="J49" i="6"/>
  <c r="P49" i="6" s="1"/>
  <c r="J33" i="6"/>
  <c r="P33" i="6" s="1"/>
  <c r="V33" i="6" s="1"/>
  <c r="J17" i="6"/>
  <c r="P17" i="6" s="1"/>
  <c r="K12" i="6"/>
  <c r="C17" i="2"/>
  <c r="E48" i="2" s="1"/>
  <c r="C15" i="2"/>
  <c r="C48" i="2" s="1"/>
  <c r="K29" i="6"/>
  <c r="K14" i="6"/>
  <c r="K105" i="6"/>
  <c r="K106" i="6"/>
  <c r="J120" i="6"/>
  <c r="J104" i="6"/>
  <c r="J96" i="6"/>
  <c r="P96" i="6" s="1"/>
  <c r="V96" i="6" s="1"/>
  <c r="J72" i="6"/>
  <c r="J56" i="6"/>
  <c r="J48" i="6"/>
  <c r="P48" i="6" s="1"/>
  <c r="J32" i="6"/>
  <c r="J16" i="6"/>
  <c r="J117" i="6"/>
  <c r="J116" i="6"/>
  <c r="J68" i="6"/>
  <c r="J52" i="6"/>
  <c r="J17" i="2"/>
  <c r="K17" i="2"/>
  <c r="C16" i="2"/>
  <c r="D43" i="2" s="1"/>
  <c r="K6" i="6"/>
  <c r="K7" i="6"/>
  <c r="K8" i="6"/>
  <c r="K9" i="6"/>
  <c r="K21" i="6"/>
  <c r="K23" i="6"/>
  <c r="K38" i="6"/>
  <c r="K39" i="6"/>
  <c r="K40" i="6"/>
  <c r="K42" i="6"/>
  <c r="K43" i="6"/>
  <c r="K44" i="6"/>
  <c r="K45" i="6"/>
  <c r="K60" i="6"/>
  <c r="K108" i="6"/>
  <c r="B48" i="2"/>
  <c r="J119" i="6"/>
  <c r="J103" i="6"/>
  <c r="J95" i="6"/>
  <c r="J55" i="6"/>
  <c r="J47" i="6"/>
  <c r="J39" i="6"/>
  <c r="J31" i="6"/>
  <c r="J23" i="6"/>
  <c r="J15" i="6"/>
  <c r="P15" i="6" s="1"/>
  <c r="J7" i="6"/>
  <c r="K46" i="6"/>
  <c r="K65" i="6"/>
  <c r="K66" i="6"/>
  <c r="K111" i="6"/>
  <c r="K112" i="6"/>
  <c r="K113" i="6"/>
  <c r="K114" i="6"/>
  <c r="J102" i="6"/>
  <c r="J94" i="6"/>
  <c r="J86" i="6"/>
  <c r="J70" i="6"/>
  <c r="J62" i="6"/>
  <c r="J54" i="6"/>
  <c r="J46" i="6"/>
  <c r="P46" i="6" s="1"/>
  <c r="V46" i="6" s="1"/>
  <c r="J38" i="6"/>
  <c r="P38" i="6" s="1"/>
  <c r="J30" i="6"/>
  <c r="J6" i="6"/>
  <c r="P6" i="6" s="1"/>
  <c r="E16" i="2"/>
  <c r="E17" i="2"/>
  <c r="B14" i="2"/>
  <c r="E14" i="2"/>
  <c r="D5" i="2"/>
  <c r="K15" i="2"/>
  <c r="G5" i="2"/>
  <c r="P47" i="6"/>
  <c r="P21" i="6"/>
  <c r="F363" i="5"/>
  <c r="G363" i="5" s="1"/>
  <c r="F364" i="5" s="1"/>
  <c r="G364" i="5" s="1"/>
  <c r="F365" i="5" s="1"/>
  <c r="G365" i="5" s="1"/>
  <c r="F366" i="5" s="1"/>
  <c r="G366" i="5" s="1"/>
  <c r="F367" i="5" s="1"/>
  <c r="G367" i="5" s="1"/>
  <c r="F368" i="5" s="1"/>
  <c r="G368" i="5" s="1"/>
  <c r="F369" i="5" s="1"/>
  <c r="G369" i="5" s="1"/>
  <c r="F370" i="5" s="1"/>
  <c r="G370" i="5" s="1"/>
  <c r="F371" i="5" s="1"/>
  <c r="G371" i="5" s="1"/>
  <c r="F372" i="5" s="1"/>
  <c r="G372" i="5" s="1"/>
  <c r="F373" i="5" s="1"/>
  <c r="G373" i="5" s="1"/>
  <c r="P37" i="6"/>
  <c r="F4" i="5"/>
  <c r="G4" i="5" s="1"/>
  <c r="F5" i="5" s="1"/>
  <c r="G5" i="5" s="1"/>
  <c r="F6" i="5" s="1"/>
  <c r="G6" i="5" s="1"/>
  <c r="F7" i="5" s="1"/>
  <c r="G7" i="5" s="1"/>
  <c r="F8" i="5" s="1"/>
  <c r="G8" i="5" s="1"/>
  <c r="F9" i="5" s="1"/>
  <c r="G9" i="5" s="1"/>
  <c r="F10" i="5" s="1"/>
  <c r="G10" i="5" s="1"/>
  <c r="F11" i="5" s="1"/>
  <c r="G11" i="5" s="1"/>
  <c r="F12" i="5" s="1"/>
  <c r="G12" i="5" s="1"/>
  <c r="F13" i="5" s="1"/>
  <c r="G13" i="5" s="1"/>
  <c r="F27" i="5"/>
  <c r="G27" i="5" s="1"/>
  <c r="F28" i="5" s="1"/>
  <c r="G28" i="5" s="1"/>
  <c r="F29" i="5" s="1"/>
  <c r="G29" i="5" s="1"/>
  <c r="F30" i="5" s="1"/>
  <c r="G30" i="5" s="1"/>
  <c r="F31" i="5" s="1"/>
  <c r="G31" i="5" s="1"/>
  <c r="F32" i="5" s="1"/>
  <c r="G32" i="5" s="1"/>
  <c r="F33" i="5" s="1"/>
  <c r="G33" i="5" s="1"/>
  <c r="F34" i="5" s="1"/>
  <c r="G34" i="5" s="1"/>
  <c r="F35" i="5" s="1"/>
  <c r="G35" i="5" s="1"/>
  <c r="F36" i="5" s="1"/>
  <c r="G36" i="5" s="1"/>
  <c r="F37" i="5" s="1"/>
  <c r="G37" i="5" s="1"/>
  <c r="F339" i="5"/>
  <c r="G339" i="5" s="1"/>
  <c r="F340" i="5" s="1"/>
  <c r="G340" i="5" s="1"/>
  <c r="F341" i="5" s="1"/>
  <c r="G341" i="5" s="1"/>
  <c r="F342" i="5" s="1"/>
  <c r="G342" i="5" s="1"/>
  <c r="F343" i="5" s="1"/>
  <c r="G343" i="5" s="1"/>
  <c r="F344" i="5" s="1"/>
  <c r="G344" i="5" s="1"/>
  <c r="F345" i="5" s="1"/>
  <c r="G345" i="5" s="1"/>
  <c r="F346" i="5" s="1"/>
  <c r="G346" i="5" s="1"/>
  <c r="F347" i="5" s="1"/>
  <c r="G347" i="5" s="1"/>
  <c r="F348" i="5" s="1"/>
  <c r="G348" i="5" s="1"/>
  <c r="F349" i="5" s="1"/>
  <c r="G349" i="5" s="1"/>
  <c r="P41" i="6"/>
  <c r="F15" i="5"/>
  <c r="G15" i="5" s="1"/>
  <c r="F16" i="5" s="1"/>
  <c r="G16" i="5" s="1"/>
  <c r="F17" i="5" s="1"/>
  <c r="G17" i="5" s="1"/>
  <c r="F18" i="5" s="1"/>
  <c r="G18" i="5" s="1"/>
  <c r="F19" i="5" s="1"/>
  <c r="G19" i="5" s="1"/>
  <c r="F20" i="5" s="1"/>
  <c r="G20" i="5" s="1"/>
  <c r="F21" i="5" s="1"/>
  <c r="G21" i="5" s="1"/>
  <c r="F22" i="5" s="1"/>
  <c r="G22" i="5" s="1"/>
  <c r="F23" i="5" s="1"/>
  <c r="G23" i="5" s="1"/>
  <c r="F24" i="5" s="1"/>
  <c r="G24" i="5" s="1"/>
  <c r="F25" i="5" s="1"/>
  <c r="G25" i="5" s="1"/>
  <c r="F111" i="5"/>
  <c r="G111" i="5" s="1"/>
  <c r="F112" i="5" s="1"/>
  <c r="G112" i="5" s="1"/>
  <c r="F113" i="5" s="1"/>
  <c r="G113" i="5" s="1"/>
  <c r="F114" i="5" s="1"/>
  <c r="G114" i="5" s="1"/>
  <c r="F115" i="5" s="1"/>
  <c r="G115" i="5" s="1"/>
  <c r="F116" i="5" s="1"/>
  <c r="G116" i="5" s="1"/>
  <c r="F117" i="5" s="1"/>
  <c r="G117" i="5" s="1"/>
  <c r="F118" i="5" s="1"/>
  <c r="G118" i="5" s="1"/>
  <c r="F119" i="5" s="1"/>
  <c r="G119" i="5" s="1"/>
  <c r="F120" i="5" s="1"/>
  <c r="G120" i="5" s="1"/>
  <c r="F121" i="5" s="1"/>
  <c r="G121" i="5" s="1"/>
  <c r="F351" i="5"/>
  <c r="G351" i="5" s="1"/>
  <c r="F352" i="5" s="1"/>
  <c r="G352" i="5" s="1"/>
  <c r="F353" i="5" s="1"/>
  <c r="G353" i="5" s="1"/>
  <c r="F354" i="5" s="1"/>
  <c r="G354" i="5" s="1"/>
  <c r="F355" i="5" s="1"/>
  <c r="G355" i="5" s="1"/>
  <c r="F356" i="5" s="1"/>
  <c r="G356" i="5" s="1"/>
  <c r="F357" i="5" s="1"/>
  <c r="G357" i="5" s="1"/>
  <c r="F358" i="5" s="1"/>
  <c r="G358" i="5" s="1"/>
  <c r="F359" i="5" s="1"/>
  <c r="G359" i="5" s="1"/>
  <c r="F360" i="5" s="1"/>
  <c r="G360" i="5" s="1"/>
  <c r="F361" i="5" s="1"/>
  <c r="G361" i="5" s="1"/>
  <c r="N5" i="6"/>
  <c r="N13" i="6"/>
  <c r="F171" i="5"/>
  <c r="G171" i="5" s="1"/>
  <c r="F172" i="5" s="1"/>
  <c r="G172" i="5" s="1"/>
  <c r="F173" i="5" s="1"/>
  <c r="G173" i="5" s="1"/>
  <c r="F174" i="5" s="1"/>
  <c r="G174" i="5" s="1"/>
  <c r="F175" i="5" s="1"/>
  <c r="G175" i="5" s="1"/>
  <c r="F176" i="5" s="1"/>
  <c r="G176" i="5" s="1"/>
  <c r="F177" i="5" s="1"/>
  <c r="G177" i="5" s="1"/>
  <c r="F178" i="5" s="1"/>
  <c r="G178" i="5" s="1"/>
  <c r="F179" i="5" s="1"/>
  <c r="G179" i="5" s="1"/>
  <c r="F180" i="5" s="1"/>
  <c r="G180" i="5" s="1"/>
  <c r="F181" i="5" s="1"/>
  <c r="G181" i="5" s="1"/>
  <c r="F291" i="5"/>
  <c r="G291" i="5" s="1"/>
  <c r="F292" i="5" s="1"/>
  <c r="G292" i="5" s="1"/>
  <c r="F293" i="5" s="1"/>
  <c r="G293" i="5" s="1"/>
  <c r="F294" i="5" s="1"/>
  <c r="G294" i="5" s="1"/>
  <c r="F295" i="5" s="1"/>
  <c r="G295" i="5" s="1"/>
  <c r="F296" i="5" s="1"/>
  <c r="G296" i="5" s="1"/>
  <c r="F297" i="5" s="1"/>
  <c r="G297" i="5" s="1"/>
  <c r="F298" i="5" s="1"/>
  <c r="G298" i="5" s="1"/>
  <c r="F299" i="5" s="1"/>
  <c r="G299" i="5" s="1"/>
  <c r="F300" i="5" s="1"/>
  <c r="G300" i="5" s="1"/>
  <c r="F301" i="5" s="1"/>
  <c r="G301" i="5" s="1"/>
  <c r="F555" i="5"/>
  <c r="G555" i="5" s="1"/>
  <c r="F556" i="5" s="1"/>
  <c r="G556" i="5" s="1"/>
  <c r="F557" i="5" s="1"/>
  <c r="G557" i="5" s="1"/>
  <c r="F558" i="5" s="1"/>
  <c r="G558" i="5" s="1"/>
  <c r="F559" i="5" s="1"/>
  <c r="G559" i="5" s="1"/>
  <c r="F560" i="5" s="1"/>
  <c r="G560" i="5" s="1"/>
  <c r="F561" i="5" s="1"/>
  <c r="G561" i="5" s="1"/>
  <c r="F562" i="5" s="1"/>
  <c r="G562" i="5" s="1"/>
  <c r="F563" i="5" s="1"/>
  <c r="G563" i="5" s="1"/>
  <c r="F564" i="5" s="1"/>
  <c r="G564" i="5" s="1"/>
  <c r="F565" i="5" s="1"/>
  <c r="G565" i="5" s="1"/>
  <c r="N8" i="6"/>
  <c r="N22" i="6"/>
  <c r="N18" i="6"/>
  <c r="N7" i="6"/>
  <c r="F99" i="5"/>
  <c r="G99" i="5" s="1"/>
  <c r="F100" i="5" s="1"/>
  <c r="G100" i="5" s="1"/>
  <c r="F101" i="5" s="1"/>
  <c r="G101" i="5" s="1"/>
  <c r="F102" i="5" s="1"/>
  <c r="G102" i="5" s="1"/>
  <c r="F103" i="5" s="1"/>
  <c r="G103" i="5" s="1"/>
  <c r="F104" i="5" s="1"/>
  <c r="G104" i="5" s="1"/>
  <c r="F105" i="5" s="1"/>
  <c r="G105" i="5" s="1"/>
  <c r="F106" i="5" s="1"/>
  <c r="G106" i="5" s="1"/>
  <c r="F107" i="5" s="1"/>
  <c r="G107" i="5" s="1"/>
  <c r="F108" i="5" s="1"/>
  <c r="G108" i="5" s="1"/>
  <c r="F109" i="5" s="1"/>
  <c r="G109" i="5" s="1"/>
  <c r="N15" i="6"/>
  <c r="F207" i="5"/>
  <c r="G207" i="5" s="1"/>
  <c r="F208" i="5" s="1"/>
  <c r="G208" i="5" s="1"/>
  <c r="F209" i="5" s="1"/>
  <c r="G209" i="5" s="1"/>
  <c r="F210" i="5" s="1"/>
  <c r="G210" i="5" s="1"/>
  <c r="F211" i="5" s="1"/>
  <c r="G211" i="5" s="1"/>
  <c r="F212" i="5" s="1"/>
  <c r="G212" i="5" s="1"/>
  <c r="F213" i="5" s="1"/>
  <c r="G213" i="5" s="1"/>
  <c r="F214" i="5" s="1"/>
  <c r="G214" i="5" s="1"/>
  <c r="F215" i="5" s="1"/>
  <c r="G215" i="5" s="1"/>
  <c r="F216" i="5" s="1"/>
  <c r="G216" i="5" s="1"/>
  <c r="F217" i="5" s="1"/>
  <c r="G217" i="5" s="1"/>
  <c r="F255" i="5"/>
  <c r="G255" i="5" s="1"/>
  <c r="F256" i="5" s="1"/>
  <c r="G256" i="5" s="1"/>
  <c r="F257" i="5" s="1"/>
  <c r="G257" i="5" s="1"/>
  <c r="F258" i="5" s="1"/>
  <c r="G258" i="5" s="1"/>
  <c r="F259" i="5" s="1"/>
  <c r="G259" i="5" s="1"/>
  <c r="F260" i="5" s="1"/>
  <c r="G260" i="5" s="1"/>
  <c r="F261" i="5" s="1"/>
  <c r="G261" i="5" s="1"/>
  <c r="F262" i="5" s="1"/>
  <c r="G262" i="5" s="1"/>
  <c r="F263" i="5" s="1"/>
  <c r="G263" i="5" s="1"/>
  <c r="F264" i="5" s="1"/>
  <c r="G264" i="5" s="1"/>
  <c r="F265" i="5" s="1"/>
  <c r="G265" i="5" s="1"/>
  <c r="F303" i="5"/>
  <c r="G303" i="5" s="1"/>
  <c r="F304" i="5" s="1"/>
  <c r="G304" i="5" s="1"/>
  <c r="F305" i="5" s="1"/>
  <c r="G305" i="5" s="1"/>
  <c r="F306" i="5" s="1"/>
  <c r="G306" i="5" s="1"/>
  <c r="F307" i="5" s="1"/>
  <c r="G307" i="5" s="1"/>
  <c r="F308" i="5" s="1"/>
  <c r="G308" i="5" s="1"/>
  <c r="F309" i="5" s="1"/>
  <c r="G309" i="5" s="1"/>
  <c r="F310" i="5" s="1"/>
  <c r="G310" i="5" s="1"/>
  <c r="F311" i="5" s="1"/>
  <c r="G311" i="5" s="1"/>
  <c r="F312" i="5" s="1"/>
  <c r="G312" i="5" s="1"/>
  <c r="F313" i="5" s="1"/>
  <c r="G313" i="5" s="1"/>
  <c r="F819" i="5"/>
  <c r="G819" i="5" s="1"/>
  <c r="F820" i="5" s="1"/>
  <c r="G820" i="5" s="1"/>
  <c r="F821" i="5" s="1"/>
  <c r="G821" i="5" s="1"/>
  <c r="F822" i="5" s="1"/>
  <c r="G822" i="5" s="1"/>
  <c r="F823" i="5" s="1"/>
  <c r="G823" i="5" s="1"/>
  <c r="F824" i="5" s="1"/>
  <c r="G824" i="5" s="1"/>
  <c r="F825" i="5" s="1"/>
  <c r="G825" i="5" s="1"/>
  <c r="F826" i="5" s="1"/>
  <c r="G826" i="5" s="1"/>
  <c r="F827" i="5" s="1"/>
  <c r="G827" i="5" s="1"/>
  <c r="F828" i="5" s="1"/>
  <c r="G828" i="5" s="1"/>
  <c r="F829" i="5" s="1"/>
  <c r="G829" i="5" s="1"/>
  <c r="F999" i="5"/>
  <c r="G999" i="5" s="1"/>
  <c r="F1000" i="5" s="1"/>
  <c r="G1000" i="5" s="1"/>
  <c r="F1001" i="5" s="1"/>
  <c r="G1001" i="5" s="1"/>
  <c r="F1002" i="5" s="1"/>
  <c r="G1002" i="5" s="1"/>
  <c r="F1003" i="5" s="1"/>
  <c r="G1003" i="5" s="1"/>
  <c r="F1004" i="5" s="1"/>
  <c r="G1004" i="5" s="1"/>
  <c r="F1005" i="5" s="1"/>
  <c r="G1005" i="5" s="1"/>
  <c r="F1006" i="5" s="1"/>
  <c r="G1006" i="5" s="1"/>
  <c r="F1007" i="5" s="1"/>
  <c r="G1007" i="5" s="1"/>
  <c r="F1008" i="5" s="1"/>
  <c r="G1008" i="5" s="1"/>
  <c r="F1009" i="5" s="1"/>
  <c r="G1009" i="5" s="1"/>
  <c r="E37" i="2"/>
  <c r="E45" i="2"/>
  <c r="N24" i="6"/>
  <c r="N28" i="6"/>
  <c r="N65" i="6"/>
  <c r="F759" i="5"/>
  <c r="G759" i="5" s="1"/>
  <c r="F760" i="5" s="1"/>
  <c r="G760" i="5" s="1"/>
  <c r="F761" i="5" s="1"/>
  <c r="G761" i="5" s="1"/>
  <c r="F762" i="5" s="1"/>
  <c r="G762" i="5" s="1"/>
  <c r="F763" i="5" s="1"/>
  <c r="G763" i="5" s="1"/>
  <c r="F764" i="5" s="1"/>
  <c r="G764" i="5" s="1"/>
  <c r="F765" i="5" s="1"/>
  <c r="G765" i="5" s="1"/>
  <c r="F766" i="5" s="1"/>
  <c r="G766" i="5" s="1"/>
  <c r="F767" i="5" s="1"/>
  <c r="G767" i="5" s="1"/>
  <c r="F768" i="5" s="1"/>
  <c r="G768" i="5" s="1"/>
  <c r="F769" i="5" s="1"/>
  <c r="G769" i="5" s="1"/>
  <c r="N9" i="6"/>
  <c r="F123" i="5"/>
  <c r="G123" i="5" s="1"/>
  <c r="F124" i="5" s="1"/>
  <c r="G124" i="5" s="1"/>
  <c r="F125" i="5" s="1"/>
  <c r="G125" i="5" s="1"/>
  <c r="F126" i="5" s="1"/>
  <c r="G126" i="5" s="1"/>
  <c r="F127" i="5" s="1"/>
  <c r="G127" i="5" s="1"/>
  <c r="F128" i="5" s="1"/>
  <c r="G128" i="5" s="1"/>
  <c r="F129" i="5" s="1"/>
  <c r="G129" i="5" s="1"/>
  <c r="F130" i="5" s="1"/>
  <c r="G130" i="5" s="1"/>
  <c r="F131" i="5" s="1"/>
  <c r="G131" i="5" s="1"/>
  <c r="F132" i="5" s="1"/>
  <c r="G132" i="5" s="1"/>
  <c r="F133" i="5" s="1"/>
  <c r="G133" i="5" s="1"/>
  <c r="N17" i="6"/>
  <c r="F219" i="5"/>
  <c r="G219" i="5" s="1"/>
  <c r="F220" i="5" s="1"/>
  <c r="G220" i="5" s="1"/>
  <c r="F221" i="5" s="1"/>
  <c r="G221" i="5" s="1"/>
  <c r="F222" i="5" s="1"/>
  <c r="G222" i="5" s="1"/>
  <c r="F223" i="5" s="1"/>
  <c r="G223" i="5" s="1"/>
  <c r="F224" i="5" s="1"/>
  <c r="G224" i="5" s="1"/>
  <c r="F225" i="5" s="1"/>
  <c r="G225" i="5" s="1"/>
  <c r="F226" i="5" s="1"/>
  <c r="G226" i="5" s="1"/>
  <c r="F227" i="5" s="1"/>
  <c r="G227" i="5" s="1"/>
  <c r="F228" i="5" s="1"/>
  <c r="G228" i="5" s="1"/>
  <c r="F229" i="5" s="1"/>
  <c r="G229" i="5" s="1"/>
  <c r="N78" i="6"/>
  <c r="F915" i="5"/>
  <c r="G915" i="5" s="1"/>
  <c r="F916" i="5" s="1"/>
  <c r="G916" i="5" s="1"/>
  <c r="F917" i="5" s="1"/>
  <c r="G917" i="5" s="1"/>
  <c r="F918" i="5" s="1"/>
  <c r="G918" i="5" s="1"/>
  <c r="F919" i="5" s="1"/>
  <c r="G919" i="5" s="1"/>
  <c r="F920" i="5" s="1"/>
  <c r="G920" i="5" s="1"/>
  <c r="F921" i="5" s="1"/>
  <c r="G921" i="5" s="1"/>
  <c r="F922" i="5" s="1"/>
  <c r="G922" i="5" s="1"/>
  <c r="F923" i="5" s="1"/>
  <c r="G923" i="5" s="1"/>
  <c r="F924" i="5" s="1"/>
  <c r="G924" i="5" s="1"/>
  <c r="F925" i="5" s="1"/>
  <c r="G925" i="5" s="1"/>
  <c r="C38" i="2"/>
  <c r="C40" i="2"/>
  <c r="C42" i="2"/>
  <c r="C44" i="2"/>
  <c r="N6" i="6"/>
  <c r="N14" i="6"/>
  <c r="N21" i="6"/>
  <c r="N25" i="6"/>
  <c r="N29" i="6"/>
  <c r="F387" i="5"/>
  <c r="G387" i="5" s="1"/>
  <c r="F388" i="5" s="1"/>
  <c r="G388" i="5" s="1"/>
  <c r="F389" i="5" s="1"/>
  <c r="G389" i="5" s="1"/>
  <c r="F390" i="5" s="1"/>
  <c r="G390" i="5" s="1"/>
  <c r="F391" i="5" s="1"/>
  <c r="G391" i="5" s="1"/>
  <c r="F392" i="5" s="1"/>
  <c r="G392" i="5" s="1"/>
  <c r="F393" i="5" s="1"/>
  <c r="G393" i="5" s="1"/>
  <c r="F394" i="5" s="1"/>
  <c r="G394" i="5" s="1"/>
  <c r="F395" i="5" s="1"/>
  <c r="G395" i="5" s="1"/>
  <c r="F396" i="5" s="1"/>
  <c r="G396" i="5" s="1"/>
  <c r="F397" i="5" s="1"/>
  <c r="G397" i="5" s="1"/>
  <c r="F459" i="5"/>
  <c r="G459" i="5" s="1"/>
  <c r="F460" i="5" s="1"/>
  <c r="G460" i="5" s="1"/>
  <c r="F461" i="5" s="1"/>
  <c r="G461" i="5" s="1"/>
  <c r="F462" i="5" s="1"/>
  <c r="G462" i="5" s="1"/>
  <c r="F463" i="5" s="1"/>
  <c r="G463" i="5" s="1"/>
  <c r="F464" i="5" s="1"/>
  <c r="G464" i="5" s="1"/>
  <c r="F465" i="5" s="1"/>
  <c r="G465" i="5" s="1"/>
  <c r="F466" i="5" s="1"/>
  <c r="G466" i="5" s="1"/>
  <c r="F467" i="5" s="1"/>
  <c r="G467" i="5" s="1"/>
  <c r="F468" i="5" s="1"/>
  <c r="G468" i="5" s="1"/>
  <c r="F469" i="5" s="1"/>
  <c r="G469" i="5" s="1"/>
  <c r="F795" i="5"/>
  <c r="G795" i="5" s="1"/>
  <c r="F796" i="5" s="1"/>
  <c r="G796" i="5" s="1"/>
  <c r="F797" i="5" s="1"/>
  <c r="G797" i="5" s="1"/>
  <c r="F798" i="5" s="1"/>
  <c r="G798" i="5" s="1"/>
  <c r="F799" i="5" s="1"/>
  <c r="G799" i="5" s="1"/>
  <c r="F800" i="5" s="1"/>
  <c r="G800" i="5" s="1"/>
  <c r="F801" i="5" s="1"/>
  <c r="G801" i="5" s="1"/>
  <c r="F802" i="5" s="1"/>
  <c r="G802" i="5" s="1"/>
  <c r="F803" i="5" s="1"/>
  <c r="G803" i="5" s="1"/>
  <c r="F804" i="5" s="1"/>
  <c r="G804" i="5" s="1"/>
  <c r="F805" i="5" s="1"/>
  <c r="G805" i="5" s="1"/>
  <c r="N35" i="6"/>
  <c r="N43" i="6"/>
  <c r="N38" i="6"/>
  <c r="N46" i="6"/>
  <c r="F1203" i="5"/>
  <c r="G1203" i="5" s="1"/>
  <c r="F1204" i="5" s="1"/>
  <c r="G1204" i="5" s="1"/>
  <c r="F1205" i="5" s="1"/>
  <c r="G1205" i="5" s="1"/>
  <c r="F1206" i="5" s="1"/>
  <c r="G1206" i="5" s="1"/>
  <c r="F1207" i="5" s="1"/>
  <c r="G1207" i="5" s="1"/>
  <c r="F1208" i="5" s="1"/>
  <c r="G1208" i="5" s="1"/>
  <c r="F1209" i="5" s="1"/>
  <c r="G1209" i="5" s="1"/>
  <c r="F1210" i="5" s="1"/>
  <c r="G1210" i="5" s="1"/>
  <c r="F1211" i="5" s="1"/>
  <c r="G1211" i="5" s="1"/>
  <c r="F1212" i="5" s="1"/>
  <c r="G1212" i="5" s="1"/>
  <c r="F1213" i="5" s="1"/>
  <c r="G1213" i="5" s="1"/>
  <c r="N33" i="6"/>
  <c r="N41" i="6"/>
  <c r="F567" i="5"/>
  <c r="G567" i="5" s="1"/>
  <c r="F568" i="5" s="1"/>
  <c r="G568" i="5" s="1"/>
  <c r="F569" i="5" s="1"/>
  <c r="G569" i="5" s="1"/>
  <c r="F570" i="5" s="1"/>
  <c r="G570" i="5" s="1"/>
  <c r="F571" i="5" s="1"/>
  <c r="G571" i="5" s="1"/>
  <c r="F572" i="5" s="1"/>
  <c r="G572" i="5" s="1"/>
  <c r="F573" i="5" s="1"/>
  <c r="G573" i="5" s="1"/>
  <c r="F574" i="5" s="1"/>
  <c r="G574" i="5" s="1"/>
  <c r="F575" i="5" s="1"/>
  <c r="G575" i="5" s="1"/>
  <c r="F576" i="5" s="1"/>
  <c r="G576" i="5" s="1"/>
  <c r="F577" i="5" s="1"/>
  <c r="G577" i="5" s="1"/>
  <c r="F579" i="5"/>
  <c r="G579" i="5" s="1"/>
  <c r="F580" i="5" s="1"/>
  <c r="G580" i="5" s="1"/>
  <c r="F581" i="5" s="1"/>
  <c r="G581" i="5" s="1"/>
  <c r="F582" i="5" s="1"/>
  <c r="G582" i="5" s="1"/>
  <c r="F583" i="5" s="1"/>
  <c r="G583" i="5" s="1"/>
  <c r="F584" i="5" s="1"/>
  <c r="G584" i="5" s="1"/>
  <c r="F585" i="5" s="1"/>
  <c r="G585" i="5" s="1"/>
  <c r="F586" i="5" s="1"/>
  <c r="G586" i="5" s="1"/>
  <c r="F587" i="5" s="1"/>
  <c r="G587" i="5" s="1"/>
  <c r="F588" i="5" s="1"/>
  <c r="G588" i="5" s="1"/>
  <c r="F589" i="5" s="1"/>
  <c r="G589" i="5" s="1"/>
  <c r="F591" i="5"/>
  <c r="G591" i="5" s="1"/>
  <c r="F592" i="5" s="1"/>
  <c r="G592" i="5" s="1"/>
  <c r="F593" i="5" s="1"/>
  <c r="G593" i="5" s="1"/>
  <c r="F594" i="5" s="1"/>
  <c r="G594" i="5" s="1"/>
  <c r="F595" i="5" s="1"/>
  <c r="G595" i="5" s="1"/>
  <c r="F596" i="5" s="1"/>
  <c r="G596" i="5" s="1"/>
  <c r="F597" i="5" s="1"/>
  <c r="G597" i="5" s="1"/>
  <c r="F598" i="5" s="1"/>
  <c r="G598" i="5" s="1"/>
  <c r="F599" i="5" s="1"/>
  <c r="G599" i="5" s="1"/>
  <c r="F600" i="5" s="1"/>
  <c r="G600" i="5" s="1"/>
  <c r="F601" i="5" s="1"/>
  <c r="G601" i="5" s="1"/>
  <c r="F603" i="5"/>
  <c r="G603" i="5" s="1"/>
  <c r="F604" i="5" s="1"/>
  <c r="G604" i="5" s="1"/>
  <c r="F605" i="5" s="1"/>
  <c r="G605" i="5" s="1"/>
  <c r="F606" i="5" s="1"/>
  <c r="G606" i="5" s="1"/>
  <c r="F607" i="5" s="1"/>
  <c r="G607" i="5" s="1"/>
  <c r="F608" i="5" s="1"/>
  <c r="G608" i="5" s="1"/>
  <c r="F609" i="5" s="1"/>
  <c r="G609" i="5" s="1"/>
  <c r="F610" i="5" s="1"/>
  <c r="G610" i="5" s="1"/>
  <c r="F611" i="5" s="1"/>
  <c r="G611" i="5" s="1"/>
  <c r="F612" i="5" s="1"/>
  <c r="G612" i="5" s="1"/>
  <c r="F613" i="5" s="1"/>
  <c r="G613" i="5" s="1"/>
  <c r="F615" i="5"/>
  <c r="G615" i="5" s="1"/>
  <c r="F616" i="5" s="1"/>
  <c r="G616" i="5" s="1"/>
  <c r="F617" i="5" s="1"/>
  <c r="G617" i="5" s="1"/>
  <c r="F618" i="5" s="1"/>
  <c r="G618" i="5" s="1"/>
  <c r="F619" i="5" s="1"/>
  <c r="G619" i="5" s="1"/>
  <c r="F620" i="5" s="1"/>
  <c r="G620" i="5" s="1"/>
  <c r="F621" i="5" s="1"/>
  <c r="G621" i="5" s="1"/>
  <c r="F622" i="5" s="1"/>
  <c r="G622" i="5" s="1"/>
  <c r="F623" i="5" s="1"/>
  <c r="G623" i="5" s="1"/>
  <c r="F624" i="5" s="1"/>
  <c r="G624" i="5" s="1"/>
  <c r="F625" i="5" s="1"/>
  <c r="G625" i="5" s="1"/>
  <c r="F627" i="5"/>
  <c r="G627" i="5" s="1"/>
  <c r="F628" i="5" s="1"/>
  <c r="G628" i="5" s="1"/>
  <c r="F629" i="5" s="1"/>
  <c r="G629" i="5" s="1"/>
  <c r="F630" i="5" s="1"/>
  <c r="G630" i="5" s="1"/>
  <c r="F631" i="5" s="1"/>
  <c r="G631" i="5" s="1"/>
  <c r="F632" i="5" s="1"/>
  <c r="G632" i="5" s="1"/>
  <c r="F633" i="5" s="1"/>
  <c r="G633" i="5" s="1"/>
  <c r="F634" i="5" s="1"/>
  <c r="G634" i="5" s="1"/>
  <c r="F635" i="5" s="1"/>
  <c r="G635" i="5" s="1"/>
  <c r="F636" i="5" s="1"/>
  <c r="G636" i="5" s="1"/>
  <c r="F637" i="5" s="1"/>
  <c r="G637" i="5" s="1"/>
  <c r="F639" i="5"/>
  <c r="G639" i="5" s="1"/>
  <c r="F640" i="5" s="1"/>
  <c r="G640" i="5" s="1"/>
  <c r="F641" i="5" s="1"/>
  <c r="G641" i="5" s="1"/>
  <c r="F642" i="5" s="1"/>
  <c r="G642" i="5" s="1"/>
  <c r="F643" i="5" s="1"/>
  <c r="G643" i="5" s="1"/>
  <c r="F644" i="5" s="1"/>
  <c r="G644" i="5" s="1"/>
  <c r="F645" i="5" s="1"/>
  <c r="G645" i="5" s="1"/>
  <c r="F646" i="5" s="1"/>
  <c r="G646" i="5" s="1"/>
  <c r="F647" i="5" s="1"/>
  <c r="G647" i="5" s="1"/>
  <c r="F648" i="5" s="1"/>
  <c r="G648" i="5" s="1"/>
  <c r="F649" i="5" s="1"/>
  <c r="G649" i="5" s="1"/>
  <c r="F651" i="5"/>
  <c r="G651" i="5" s="1"/>
  <c r="F652" i="5" s="1"/>
  <c r="G652" i="5" s="1"/>
  <c r="F653" i="5" s="1"/>
  <c r="G653" i="5" s="1"/>
  <c r="F654" i="5" s="1"/>
  <c r="G654" i="5" s="1"/>
  <c r="F655" i="5" s="1"/>
  <c r="G655" i="5" s="1"/>
  <c r="F656" i="5" s="1"/>
  <c r="G656" i="5" s="1"/>
  <c r="F657" i="5" s="1"/>
  <c r="G657" i="5" s="1"/>
  <c r="F658" i="5" s="1"/>
  <c r="G658" i="5" s="1"/>
  <c r="F659" i="5" s="1"/>
  <c r="G659" i="5" s="1"/>
  <c r="F660" i="5" s="1"/>
  <c r="G660" i="5" s="1"/>
  <c r="F661" i="5" s="1"/>
  <c r="G661" i="5" s="1"/>
  <c r="F663" i="5"/>
  <c r="G663" i="5" s="1"/>
  <c r="F664" i="5" s="1"/>
  <c r="G664" i="5" s="1"/>
  <c r="F665" i="5" s="1"/>
  <c r="G665" i="5" s="1"/>
  <c r="F666" i="5" s="1"/>
  <c r="G666" i="5" s="1"/>
  <c r="F667" i="5" s="1"/>
  <c r="G667" i="5" s="1"/>
  <c r="F668" i="5" s="1"/>
  <c r="G668" i="5" s="1"/>
  <c r="F669" i="5" s="1"/>
  <c r="G669" i="5" s="1"/>
  <c r="F670" i="5" s="1"/>
  <c r="G670" i="5" s="1"/>
  <c r="F671" i="5" s="1"/>
  <c r="G671" i="5" s="1"/>
  <c r="F672" i="5" s="1"/>
  <c r="G672" i="5" s="1"/>
  <c r="F673" i="5" s="1"/>
  <c r="G673" i="5" s="1"/>
  <c r="F675" i="5"/>
  <c r="G675" i="5" s="1"/>
  <c r="F676" i="5" s="1"/>
  <c r="G676" i="5" s="1"/>
  <c r="F677" i="5" s="1"/>
  <c r="G677" i="5" s="1"/>
  <c r="F678" i="5" s="1"/>
  <c r="G678" i="5" s="1"/>
  <c r="F679" i="5" s="1"/>
  <c r="G679" i="5" s="1"/>
  <c r="F680" i="5" s="1"/>
  <c r="G680" i="5" s="1"/>
  <c r="F681" i="5" s="1"/>
  <c r="G681" i="5" s="1"/>
  <c r="F682" i="5" s="1"/>
  <c r="G682" i="5" s="1"/>
  <c r="F683" i="5" s="1"/>
  <c r="G683" i="5" s="1"/>
  <c r="F684" i="5" s="1"/>
  <c r="G684" i="5" s="1"/>
  <c r="F685" i="5" s="1"/>
  <c r="G685" i="5" s="1"/>
  <c r="F687" i="5"/>
  <c r="G687" i="5" s="1"/>
  <c r="F688" i="5" s="1"/>
  <c r="G688" i="5" s="1"/>
  <c r="F689" i="5" s="1"/>
  <c r="G689" i="5" s="1"/>
  <c r="F690" i="5" s="1"/>
  <c r="G690" i="5" s="1"/>
  <c r="F691" i="5" s="1"/>
  <c r="G691" i="5" s="1"/>
  <c r="F692" i="5" s="1"/>
  <c r="G692" i="5" s="1"/>
  <c r="F693" i="5" s="1"/>
  <c r="G693" i="5" s="1"/>
  <c r="F694" i="5" s="1"/>
  <c r="G694" i="5" s="1"/>
  <c r="F695" i="5" s="1"/>
  <c r="G695" i="5" s="1"/>
  <c r="F696" i="5" s="1"/>
  <c r="G696" i="5" s="1"/>
  <c r="F697" i="5" s="1"/>
  <c r="G697" i="5" s="1"/>
  <c r="F699" i="5"/>
  <c r="G699" i="5" s="1"/>
  <c r="F700" i="5" s="1"/>
  <c r="G700" i="5" s="1"/>
  <c r="F701" i="5" s="1"/>
  <c r="G701" i="5" s="1"/>
  <c r="F702" i="5" s="1"/>
  <c r="G702" i="5" s="1"/>
  <c r="F703" i="5" s="1"/>
  <c r="G703" i="5" s="1"/>
  <c r="F704" i="5" s="1"/>
  <c r="G704" i="5" s="1"/>
  <c r="F705" i="5" s="1"/>
  <c r="G705" i="5" s="1"/>
  <c r="F706" i="5" s="1"/>
  <c r="G706" i="5" s="1"/>
  <c r="F707" i="5" s="1"/>
  <c r="G707" i="5" s="1"/>
  <c r="F708" i="5" s="1"/>
  <c r="G708" i="5" s="1"/>
  <c r="F709" i="5" s="1"/>
  <c r="G709" i="5" s="1"/>
  <c r="F711" i="5"/>
  <c r="G711" i="5" s="1"/>
  <c r="F712" i="5" s="1"/>
  <c r="G712" i="5" s="1"/>
  <c r="F713" i="5" s="1"/>
  <c r="G713" i="5" s="1"/>
  <c r="F714" i="5" s="1"/>
  <c r="G714" i="5" s="1"/>
  <c r="F715" i="5" s="1"/>
  <c r="G715" i="5" s="1"/>
  <c r="F716" i="5" s="1"/>
  <c r="G716" i="5" s="1"/>
  <c r="F717" i="5" s="1"/>
  <c r="G717" i="5" s="1"/>
  <c r="F718" i="5" s="1"/>
  <c r="G718" i="5" s="1"/>
  <c r="F719" i="5" s="1"/>
  <c r="G719" i="5" s="1"/>
  <c r="F720" i="5" s="1"/>
  <c r="G720" i="5" s="1"/>
  <c r="F721" i="5" s="1"/>
  <c r="G721" i="5" s="1"/>
  <c r="F723" i="5"/>
  <c r="G723" i="5" s="1"/>
  <c r="F724" i="5" s="1"/>
  <c r="G724" i="5" s="1"/>
  <c r="F725" i="5" s="1"/>
  <c r="G725" i="5" s="1"/>
  <c r="F726" i="5" s="1"/>
  <c r="G726" i="5" s="1"/>
  <c r="F727" i="5" s="1"/>
  <c r="G727" i="5" s="1"/>
  <c r="F728" i="5" s="1"/>
  <c r="G728" i="5" s="1"/>
  <c r="F729" i="5" s="1"/>
  <c r="G729" i="5" s="1"/>
  <c r="F730" i="5" s="1"/>
  <c r="G730" i="5" s="1"/>
  <c r="F731" i="5" s="1"/>
  <c r="G731" i="5" s="1"/>
  <c r="F732" i="5" s="1"/>
  <c r="G732" i="5" s="1"/>
  <c r="F733" i="5" s="1"/>
  <c r="G733" i="5" s="1"/>
  <c r="F735" i="5"/>
  <c r="G735" i="5" s="1"/>
  <c r="F736" i="5" s="1"/>
  <c r="G736" i="5" s="1"/>
  <c r="F737" i="5" s="1"/>
  <c r="G737" i="5" s="1"/>
  <c r="F738" i="5" s="1"/>
  <c r="G738" i="5" s="1"/>
  <c r="F739" i="5" s="1"/>
  <c r="G739" i="5" s="1"/>
  <c r="F740" i="5" s="1"/>
  <c r="G740" i="5" s="1"/>
  <c r="F741" i="5" s="1"/>
  <c r="G741" i="5" s="1"/>
  <c r="F742" i="5" s="1"/>
  <c r="G742" i="5" s="1"/>
  <c r="F743" i="5" s="1"/>
  <c r="G743" i="5" s="1"/>
  <c r="F744" i="5" s="1"/>
  <c r="G744" i="5" s="1"/>
  <c r="F745" i="5" s="1"/>
  <c r="G745" i="5" s="1"/>
  <c r="F747" i="5"/>
  <c r="G747" i="5" s="1"/>
  <c r="F748" i="5" s="1"/>
  <c r="G748" i="5" s="1"/>
  <c r="F749" i="5" s="1"/>
  <c r="G749" i="5" s="1"/>
  <c r="F750" i="5" s="1"/>
  <c r="G750" i="5" s="1"/>
  <c r="F751" i="5" s="1"/>
  <c r="G751" i="5" s="1"/>
  <c r="F752" i="5" s="1"/>
  <c r="G752" i="5" s="1"/>
  <c r="F753" i="5" s="1"/>
  <c r="G753" i="5" s="1"/>
  <c r="F754" i="5" s="1"/>
  <c r="G754" i="5" s="1"/>
  <c r="F755" i="5" s="1"/>
  <c r="G755" i="5" s="1"/>
  <c r="F756" i="5" s="1"/>
  <c r="G756" i="5" s="1"/>
  <c r="F757" i="5" s="1"/>
  <c r="G757" i="5" s="1"/>
  <c r="N67" i="6"/>
  <c r="F1119" i="5"/>
  <c r="G1119" i="5" s="1"/>
  <c r="F1120" i="5" s="1"/>
  <c r="G1120" i="5" s="1"/>
  <c r="F1121" i="5" s="1"/>
  <c r="G1121" i="5" s="1"/>
  <c r="F1122" i="5" s="1"/>
  <c r="G1122" i="5" s="1"/>
  <c r="F1123" i="5" s="1"/>
  <c r="G1123" i="5" s="1"/>
  <c r="F1124" i="5" s="1"/>
  <c r="G1124" i="5" s="1"/>
  <c r="F1125" i="5" s="1"/>
  <c r="G1125" i="5" s="1"/>
  <c r="F1126" i="5" s="1"/>
  <c r="G1126" i="5" s="1"/>
  <c r="F1127" i="5" s="1"/>
  <c r="G1127" i="5" s="1"/>
  <c r="F1128" i="5" s="1"/>
  <c r="G1128" i="5" s="1"/>
  <c r="F1129" i="5" s="1"/>
  <c r="G1129" i="5" s="1"/>
  <c r="N36" i="6"/>
  <c r="N44" i="6"/>
  <c r="N74" i="6"/>
  <c r="F1035" i="5"/>
  <c r="G1035" i="5" s="1"/>
  <c r="F1036" i="5" s="1"/>
  <c r="G1036" i="5" s="1"/>
  <c r="F1037" i="5" s="1"/>
  <c r="G1037" i="5" s="1"/>
  <c r="F1038" i="5" s="1"/>
  <c r="G1038" i="5" s="1"/>
  <c r="F1039" i="5" s="1"/>
  <c r="G1039" i="5" s="1"/>
  <c r="F1040" i="5" s="1"/>
  <c r="G1040" i="5" s="1"/>
  <c r="F1041" i="5" s="1"/>
  <c r="G1041" i="5" s="1"/>
  <c r="F1042" i="5" s="1"/>
  <c r="G1042" i="5" s="1"/>
  <c r="F1043" i="5" s="1"/>
  <c r="G1043" i="5" s="1"/>
  <c r="F1044" i="5" s="1"/>
  <c r="G1044" i="5" s="1"/>
  <c r="F1045" i="5" s="1"/>
  <c r="G1045" i="5" s="1"/>
  <c r="N39" i="6"/>
  <c r="N47" i="6"/>
  <c r="N66" i="6"/>
  <c r="F807" i="5"/>
  <c r="G807" i="5" s="1"/>
  <c r="F808" i="5" s="1"/>
  <c r="G808" i="5" s="1"/>
  <c r="F809" i="5" s="1"/>
  <c r="G809" i="5" s="1"/>
  <c r="F810" i="5" s="1"/>
  <c r="G810" i="5" s="1"/>
  <c r="F811" i="5" s="1"/>
  <c r="G811" i="5" s="1"/>
  <c r="F812" i="5" s="1"/>
  <c r="G812" i="5" s="1"/>
  <c r="F813" i="5" s="1"/>
  <c r="G813" i="5" s="1"/>
  <c r="F814" i="5" s="1"/>
  <c r="G814" i="5" s="1"/>
  <c r="F815" i="5" s="1"/>
  <c r="G815" i="5" s="1"/>
  <c r="F816" i="5" s="1"/>
  <c r="G816" i="5" s="1"/>
  <c r="F817" i="5" s="1"/>
  <c r="G817" i="5" s="1"/>
  <c r="F891" i="5"/>
  <c r="G891" i="5" s="1"/>
  <c r="F892" i="5" s="1"/>
  <c r="G892" i="5" s="1"/>
  <c r="F893" i="5" s="1"/>
  <c r="G893" i="5" s="1"/>
  <c r="F894" i="5" s="1"/>
  <c r="G894" i="5" s="1"/>
  <c r="F895" i="5" s="1"/>
  <c r="G895" i="5" s="1"/>
  <c r="F896" i="5" s="1"/>
  <c r="G896" i="5" s="1"/>
  <c r="F897" i="5" s="1"/>
  <c r="G897" i="5" s="1"/>
  <c r="F898" i="5" s="1"/>
  <c r="G898" i="5" s="1"/>
  <c r="F899" i="5" s="1"/>
  <c r="G899" i="5" s="1"/>
  <c r="F900" i="5" s="1"/>
  <c r="G900" i="5" s="1"/>
  <c r="F901" i="5" s="1"/>
  <c r="G901" i="5" s="1"/>
  <c r="F951" i="5"/>
  <c r="G951" i="5" s="1"/>
  <c r="F952" i="5" s="1"/>
  <c r="G952" i="5" s="1"/>
  <c r="F953" i="5" s="1"/>
  <c r="G953" i="5" s="1"/>
  <c r="F954" i="5" s="1"/>
  <c r="G954" i="5" s="1"/>
  <c r="F955" i="5" s="1"/>
  <c r="G955" i="5" s="1"/>
  <c r="F956" i="5" s="1"/>
  <c r="G956" i="5" s="1"/>
  <c r="F957" i="5" s="1"/>
  <c r="G957" i="5" s="1"/>
  <c r="F958" i="5" s="1"/>
  <c r="G958" i="5" s="1"/>
  <c r="F959" i="5" s="1"/>
  <c r="G959" i="5" s="1"/>
  <c r="F960" i="5" s="1"/>
  <c r="G960" i="5" s="1"/>
  <c r="F961" i="5" s="1"/>
  <c r="G961" i="5" s="1"/>
  <c r="N93" i="6"/>
  <c r="F1095" i="5"/>
  <c r="G1095" i="5" s="1"/>
  <c r="F1096" i="5" s="1"/>
  <c r="G1096" i="5" s="1"/>
  <c r="F1097" i="5" s="1"/>
  <c r="G1097" i="5" s="1"/>
  <c r="F1098" i="5" s="1"/>
  <c r="G1098" i="5" s="1"/>
  <c r="F1099" i="5" s="1"/>
  <c r="G1099" i="5" s="1"/>
  <c r="F1100" i="5" s="1"/>
  <c r="G1100" i="5" s="1"/>
  <c r="F1101" i="5" s="1"/>
  <c r="G1101" i="5" s="1"/>
  <c r="F1102" i="5" s="1"/>
  <c r="G1102" i="5" s="1"/>
  <c r="F1103" i="5" s="1"/>
  <c r="G1103" i="5" s="1"/>
  <c r="F1104" i="5" s="1"/>
  <c r="G1104" i="5" s="1"/>
  <c r="F1105" i="5" s="1"/>
  <c r="G1105" i="5" s="1"/>
  <c r="N37" i="6"/>
  <c r="F483" i="5"/>
  <c r="G483" i="5" s="1"/>
  <c r="F484" i="5" s="1"/>
  <c r="G484" i="5" s="1"/>
  <c r="F485" i="5" s="1"/>
  <c r="G485" i="5" s="1"/>
  <c r="F486" i="5" s="1"/>
  <c r="G486" i="5" s="1"/>
  <c r="F487" i="5" s="1"/>
  <c r="G487" i="5" s="1"/>
  <c r="F488" i="5" s="1"/>
  <c r="G488" i="5" s="1"/>
  <c r="F489" i="5" s="1"/>
  <c r="G489" i="5" s="1"/>
  <c r="F490" i="5" s="1"/>
  <c r="G490" i="5" s="1"/>
  <c r="F491" i="5" s="1"/>
  <c r="G491" i="5" s="1"/>
  <c r="F492" i="5" s="1"/>
  <c r="G492" i="5" s="1"/>
  <c r="F493" i="5" s="1"/>
  <c r="G493" i="5" s="1"/>
  <c r="N45" i="6"/>
  <c r="F927" i="5"/>
  <c r="G927" i="5" s="1"/>
  <c r="F928" i="5" s="1"/>
  <c r="G928" i="5" s="1"/>
  <c r="F929" i="5" s="1"/>
  <c r="G929" i="5" s="1"/>
  <c r="F930" i="5" s="1"/>
  <c r="G930" i="5" s="1"/>
  <c r="F931" i="5" s="1"/>
  <c r="G931" i="5" s="1"/>
  <c r="F932" i="5" s="1"/>
  <c r="G932" i="5" s="1"/>
  <c r="F933" i="5" s="1"/>
  <c r="G933" i="5" s="1"/>
  <c r="F934" i="5" s="1"/>
  <c r="G934" i="5" s="1"/>
  <c r="F935" i="5" s="1"/>
  <c r="G935" i="5" s="1"/>
  <c r="F936" i="5" s="1"/>
  <c r="G936" i="5" s="1"/>
  <c r="F937" i="5" s="1"/>
  <c r="G937" i="5" s="1"/>
  <c r="F1287" i="5"/>
  <c r="G1287" i="5" s="1"/>
  <c r="F1288" i="5" s="1"/>
  <c r="G1288" i="5" s="1"/>
  <c r="F1289" i="5" s="1"/>
  <c r="G1289" i="5" s="1"/>
  <c r="F1290" i="5" s="1"/>
  <c r="G1290" i="5" s="1"/>
  <c r="F1291" i="5" s="1"/>
  <c r="G1291" i="5" s="1"/>
  <c r="F1292" i="5" s="1"/>
  <c r="G1292" i="5" s="1"/>
  <c r="F1293" i="5" s="1"/>
  <c r="G1293" i="5" s="1"/>
  <c r="F1294" i="5" s="1"/>
  <c r="G1294" i="5" s="1"/>
  <c r="F1295" i="5" s="1"/>
  <c r="G1295" i="5" s="1"/>
  <c r="F1296" i="5" s="1"/>
  <c r="G1296" i="5" s="1"/>
  <c r="F1297" i="5" s="1"/>
  <c r="G1297" i="5" s="1"/>
  <c r="N91" i="6"/>
  <c r="F1083" i="5"/>
  <c r="G1083" i="5" s="1"/>
  <c r="F1084" i="5" s="1"/>
  <c r="G1084" i="5" s="1"/>
  <c r="F1085" i="5" s="1"/>
  <c r="G1085" i="5" s="1"/>
  <c r="F1086" i="5" s="1"/>
  <c r="G1086" i="5" s="1"/>
  <c r="F1087" i="5" s="1"/>
  <c r="G1087" i="5" s="1"/>
  <c r="F1088" i="5" s="1"/>
  <c r="G1088" i="5" s="1"/>
  <c r="F1089" i="5" s="1"/>
  <c r="G1089" i="5" s="1"/>
  <c r="F1090" i="5" s="1"/>
  <c r="G1090" i="5" s="1"/>
  <c r="F1091" i="5" s="1"/>
  <c r="G1091" i="5" s="1"/>
  <c r="F1092" i="5" s="1"/>
  <c r="G1092" i="5" s="1"/>
  <c r="F1093" i="5" s="1"/>
  <c r="G1093" i="5" s="1"/>
  <c r="F1107" i="5"/>
  <c r="G1107" i="5" s="1"/>
  <c r="F1108" i="5" s="1"/>
  <c r="G1108" i="5" s="1"/>
  <c r="F1109" i="5" s="1"/>
  <c r="G1109" i="5" s="1"/>
  <c r="F1110" i="5" s="1"/>
  <c r="G1110" i="5" s="1"/>
  <c r="F1111" i="5" s="1"/>
  <c r="G1111" i="5" s="1"/>
  <c r="F1112" i="5" s="1"/>
  <c r="G1112" i="5" s="1"/>
  <c r="F1113" i="5" s="1"/>
  <c r="G1113" i="5" s="1"/>
  <c r="F1114" i="5" s="1"/>
  <c r="G1114" i="5" s="1"/>
  <c r="F1115" i="5" s="1"/>
  <c r="G1115" i="5" s="1"/>
  <c r="F1116" i="5" s="1"/>
  <c r="G1116" i="5" s="1"/>
  <c r="F1117" i="5" s="1"/>
  <c r="G1117" i="5" s="1"/>
  <c r="F1167" i="5"/>
  <c r="G1167" i="5" s="1"/>
  <c r="F1168" i="5" s="1"/>
  <c r="G1168" i="5" s="1"/>
  <c r="F1169" i="5" s="1"/>
  <c r="G1169" i="5" s="1"/>
  <c r="F1170" i="5" s="1"/>
  <c r="G1170" i="5" s="1"/>
  <c r="F1171" i="5" s="1"/>
  <c r="G1171" i="5" s="1"/>
  <c r="F1172" i="5" s="1"/>
  <c r="G1172" i="5" s="1"/>
  <c r="F1173" i="5" s="1"/>
  <c r="G1173" i="5" s="1"/>
  <c r="F1174" i="5" s="1"/>
  <c r="G1174" i="5" s="1"/>
  <c r="F1175" i="5" s="1"/>
  <c r="G1175" i="5" s="1"/>
  <c r="F1176" i="5" s="1"/>
  <c r="G1176" i="5" s="1"/>
  <c r="F1177" i="5" s="1"/>
  <c r="G1177" i="5" s="1"/>
  <c r="F1215" i="5"/>
  <c r="G1215" i="5" s="1"/>
  <c r="F1216" i="5" s="1"/>
  <c r="G1216" i="5" s="1"/>
  <c r="F1217" i="5" s="1"/>
  <c r="G1217" i="5" s="1"/>
  <c r="F1218" i="5" s="1"/>
  <c r="G1218" i="5" s="1"/>
  <c r="F1219" i="5" s="1"/>
  <c r="G1219" i="5" s="1"/>
  <c r="F1220" i="5" s="1"/>
  <c r="G1220" i="5" s="1"/>
  <c r="F1221" i="5" s="1"/>
  <c r="G1221" i="5" s="1"/>
  <c r="F1222" i="5" s="1"/>
  <c r="G1222" i="5" s="1"/>
  <c r="F1223" i="5" s="1"/>
  <c r="G1223" i="5" s="1"/>
  <c r="F1224" i="5" s="1"/>
  <c r="G1224" i="5" s="1"/>
  <c r="F1225" i="5" s="1"/>
  <c r="G1225" i="5" s="1"/>
  <c r="F1395" i="5"/>
  <c r="G1395" i="5" s="1"/>
  <c r="F1396" i="5" s="1"/>
  <c r="G1396" i="5" s="1"/>
  <c r="F1397" i="5" s="1"/>
  <c r="G1397" i="5" s="1"/>
  <c r="F1398" i="5" s="1"/>
  <c r="G1398" i="5" s="1"/>
  <c r="F1399" i="5" s="1"/>
  <c r="G1399" i="5" s="1"/>
  <c r="F1400" i="5" s="1"/>
  <c r="G1400" i="5" s="1"/>
  <c r="F1401" i="5" s="1"/>
  <c r="G1401" i="5" s="1"/>
  <c r="F1402" i="5" s="1"/>
  <c r="G1402" i="5" s="1"/>
  <c r="F1403" i="5" s="1"/>
  <c r="G1403" i="5" s="1"/>
  <c r="F1404" i="5" s="1"/>
  <c r="G1404" i="5" s="1"/>
  <c r="F1405" i="5" s="1"/>
  <c r="G1405" i="5" s="1"/>
  <c r="F1431" i="5"/>
  <c r="G1431" i="5" s="1"/>
  <c r="F1432" i="5" s="1"/>
  <c r="G1432" i="5" s="1"/>
  <c r="F1433" i="5" s="1"/>
  <c r="G1433" i="5" s="1"/>
  <c r="F1434" i="5" s="1"/>
  <c r="G1434" i="5" s="1"/>
  <c r="F1435" i="5" s="1"/>
  <c r="G1435" i="5" s="1"/>
  <c r="F1436" i="5" s="1"/>
  <c r="G1436" i="5" s="1"/>
  <c r="F1437" i="5" s="1"/>
  <c r="G1437" i="5" s="1"/>
  <c r="F1438" i="5" s="1"/>
  <c r="G1438" i="5" s="1"/>
  <c r="F1439" i="5" s="1"/>
  <c r="G1439" i="5" s="1"/>
  <c r="F1440" i="5" s="1"/>
  <c r="G1440" i="5" s="1"/>
  <c r="F1441" i="5" s="1"/>
  <c r="G1441" i="5" s="1"/>
  <c r="F963" i="5"/>
  <c r="G963" i="5" s="1"/>
  <c r="F964" i="5" s="1"/>
  <c r="G964" i="5" s="1"/>
  <c r="F965" i="5" s="1"/>
  <c r="G965" i="5" s="1"/>
  <c r="F966" i="5" s="1"/>
  <c r="G966" i="5" s="1"/>
  <c r="F967" i="5" s="1"/>
  <c r="G967" i="5" s="1"/>
  <c r="F968" i="5" s="1"/>
  <c r="G968" i="5" s="1"/>
  <c r="F969" i="5" s="1"/>
  <c r="G969" i="5" s="1"/>
  <c r="F970" i="5" s="1"/>
  <c r="G970" i="5" s="1"/>
  <c r="F971" i="5" s="1"/>
  <c r="G971" i="5" s="1"/>
  <c r="F972" i="5" s="1"/>
  <c r="G972" i="5" s="1"/>
  <c r="F973" i="5" s="1"/>
  <c r="G973" i="5" s="1"/>
  <c r="F1059" i="5"/>
  <c r="G1059" i="5" s="1"/>
  <c r="F1060" i="5" s="1"/>
  <c r="G1060" i="5" s="1"/>
  <c r="F1061" i="5" s="1"/>
  <c r="G1061" i="5" s="1"/>
  <c r="F1062" i="5" s="1"/>
  <c r="G1062" i="5" s="1"/>
  <c r="F1063" i="5" s="1"/>
  <c r="G1063" i="5" s="1"/>
  <c r="F1064" i="5" s="1"/>
  <c r="G1064" i="5" s="1"/>
  <c r="F1065" i="5" s="1"/>
  <c r="G1065" i="5" s="1"/>
  <c r="F1066" i="5" s="1"/>
  <c r="G1066" i="5" s="1"/>
  <c r="F1067" i="5" s="1"/>
  <c r="G1067" i="5" s="1"/>
  <c r="F1068" i="5" s="1"/>
  <c r="G1068" i="5" s="1"/>
  <c r="F1069" i="5" s="1"/>
  <c r="G1069" i="5" s="1"/>
  <c r="P90" i="6" s="1"/>
  <c r="V90" i="6" s="1"/>
  <c r="F1323" i="5"/>
  <c r="G1323" i="5" s="1"/>
  <c r="F1324" i="5" s="1"/>
  <c r="G1324" i="5" s="1"/>
  <c r="F1325" i="5" s="1"/>
  <c r="G1325" i="5" s="1"/>
  <c r="F1326" i="5" s="1"/>
  <c r="G1326" i="5" s="1"/>
  <c r="F1327" i="5" s="1"/>
  <c r="G1327" i="5" s="1"/>
  <c r="F1328" i="5" s="1"/>
  <c r="G1328" i="5" s="1"/>
  <c r="F1329" i="5" s="1"/>
  <c r="G1329" i="5" s="1"/>
  <c r="F1330" i="5" s="1"/>
  <c r="G1330" i="5" s="1"/>
  <c r="F1331" i="5" s="1"/>
  <c r="G1331" i="5" s="1"/>
  <c r="F1332" i="5" s="1"/>
  <c r="G1332" i="5" s="1"/>
  <c r="F1333" i="5" s="1"/>
  <c r="G1333" i="5" s="1"/>
  <c r="F975" i="5"/>
  <c r="G975" i="5" s="1"/>
  <c r="F976" i="5" s="1"/>
  <c r="G976" i="5" s="1"/>
  <c r="F977" i="5" s="1"/>
  <c r="G977" i="5" s="1"/>
  <c r="F978" i="5" s="1"/>
  <c r="G978" i="5" s="1"/>
  <c r="F979" i="5" s="1"/>
  <c r="G979" i="5" s="1"/>
  <c r="F980" i="5" s="1"/>
  <c r="G980" i="5" s="1"/>
  <c r="F981" i="5" s="1"/>
  <c r="G981" i="5" s="1"/>
  <c r="F982" i="5" s="1"/>
  <c r="G982" i="5" s="1"/>
  <c r="F983" i="5" s="1"/>
  <c r="G983" i="5" s="1"/>
  <c r="F984" i="5" s="1"/>
  <c r="G984" i="5" s="1"/>
  <c r="F985" i="5" s="1"/>
  <c r="G985" i="5" s="1"/>
  <c r="F1011" i="5"/>
  <c r="G1011" i="5" s="1"/>
  <c r="F1012" i="5" s="1"/>
  <c r="G1012" i="5" s="1"/>
  <c r="F1013" i="5" s="1"/>
  <c r="G1013" i="5" s="1"/>
  <c r="F1014" i="5" s="1"/>
  <c r="G1014" i="5" s="1"/>
  <c r="F1015" i="5" s="1"/>
  <c r="G1015" i="5" s="1"/>
  <c r="F1016" i="5" s="1"/>
  <c r="G1016" i="5" s="1"/>
  <c r="F1017" i="5" s="1"/>
  <c r="G1017" i="5" s="1"/>
  <c r="F1018" i="5" s="1"/>
  <c r="G1018" i="5" s="1"/>
  <c r="F1019" i="5" s="1"/>
  <c r="G1019" i="5" s="1"/>
  <c r="F1020" i="5" s="1"/>
  <c r="G1020" i="5" s="1"/>
  <c r="F1021" i="5" s="1"/>
  <c r="G1021" i="5" s="1"/>
  <c r="F1155" i="5"/>
  <c r="G1155" i="5" s="1"/>
  <c r="F1156" i="5" s="1"/>
  <c r="G1156" i="5" s="1"/>
  <c r="F1157" i="5" s="1"/>
  <c r="G1157" i="5" s="1"/>
  <c r="F1158" i="5" s="1"/>
  <c r="G1158" i="5" s="1"/>
  <c r="F1159" i="5" s="1"/>
  <c r="G1159" i="5" s="1"/>
  <c r="F1160" i="5" s="1"/>
  <c r="G1160" i="5" s="1"/>
  <c r="F1161" i="5" s="1"/>
  <c r="G1161" i="5" s="1"/>
  <c r="F1162" i="5" s="1"/>
  <c r="G1162" i="5" s="1"/>
  <c r="F1163" i="5" s="1"/>
  <c r="G1163" i="5" s="1"/>
  <c r="F1164" i="5" s="1"/>
  <c r="G1164" i="5" s="1"/>
  <c r="F1165" i="5" s="1"/>
  <c r="G1165" i="5" s="1"/>
  <c r="F903" i="5"/>
  <c r="G903" i="5" s="1"/>
  <c r="F904" i="5" s="1"/>
  <c r="G904" i="5" s="1"/>
  <c r="F905" i="5" s="1"/>
  <c r="G905" i="5" s="1"/>
  <c r="F906" i="5" s="1"/>
  <c r="G906" i="5" s="1"/>
  <c r="F907" i="5" s="1"/>
  <c r="G907" i="5" s="1"/>
  <c r="F908" i="5" s="1"/>
  <c r="G908" i="5" s="1"/>
  <c r="F909" i="5" s="1"/>
  <c r="G909" i="5" s="1"/>
  <c r="F910" i="5" s="1"/>
  <c r="G910" i="5" s="1"/>
  <c r="F911" i="5" s="1"/>
  <c r="G911" i="5" s="1"/>
  <c r="F912" i="5" s="1"/>
  <c r="G912" i="5" s="1"/>
  <c r="F913" i="5" s="1"/>
  <c r="G913" i="5" s="1"/>
  <c r="F1299" i="5"/>
  <c r="G1299" i="5" s="1"/>
  <c r="F1300" i="5" s="1"/>
  <c r="G1300" i="5" s="1"/>
  <c r="F1301" i="5" s="1"/>
  <c r="G1301" i="5" s="1"/>
  <c r="F1302" i="5" s="1"/>
  <c r="G1302" i="5" s="1"/>
  <c r="F1303" i="5" s="1"/>
  <c r="G1303" i="5" s="1"/>
  <c r="F1304" i="5" s="1"/>
  <c r="G1304" i="5" s="1"/>
  <c r="F1305" i="5" s="1"/>
  <c r="G1305" i="5" s="1"/>
  <c r="F1306" i="5" s="1"/>
  <c r="G1306" i="5" s="1"/>
  <c r="F1307" i="5" s="1"/>
  <c r="G1307" i="5" s="1"/>
  <c r="F1308" i="5" s="1"/>
  <c r="G1308" i="5" s="1"/>
  <c r="F1309" i="5" s="1"/>
  <c r="G1309" i="5" s="1"/>
  <c r="F1347" i="5"/>
  <c r="G1347" i="5" s="1"/>
  <c r="F1348" i="5" s="1"/>
  <c r="G1348" i="5" s="1"/>
  <c r="F1349" i="5" s="1"/>
  <c r="G1349" i="5" s="1"/>
  <c r="F1350" i="5" s="1"/>
  <c r="G1350" i="5" s="1"/>
  <c r="F1351" i="5" s="1"/>
  <c r="G1351" i="5" s="1"/>
  <c r="F1352" i="5" s="1"/>
  <c r="G1352" i="5" s="1"/>
  <c r="F1353" i="5" s="1"/>
  <c r="G1353" i="5" s="1"/>
  <c r="F1354" i="5" s="1"/>
  <c r="G1354" i="5" s="1"/>
  <c r="F1355" i="5" s="1"/>
  <c r="G1355" i="5" s="1"/>
  <c r="F1356" i="5" s="1"/>
  <c r="G1356" i="5" s="1"/>
  <c r="F1357" i="5" s="1"/>
  <c r="G1357" i="5" s="1"/>
  <c r="F1419" i="5"/>
  <c r="G1419" i="5" s="1"/>
  <c r="F1420" i="5" s="1"/>
  <c r="G1420" i="5" s="1"/>
  <c r="F1421" i="5" s="1"/>
  <c r="G1421" i="5" s="1"/>
  <c r="F1422" i="5" s="1"/>
  <c r="G1422" i="5" s="1"/>
  <c r="F1423" i="5" s="1"/>
  <c r="G1423" i="5" s="1"/>
  <c r="F1424" i="5" s="1"/>
  <c r="G1424" i="5" s="1"/>
  <c r="F1425" i="5" s="1"/>
  <c r="G1425" i="5" s="1"/>
  <c r="F1426" i="5" s="1"/>
  <c r="G1426" i="5" s="1"/>
  <c r="F1427" i="5" s="1"/>
  <c r="G1427" i="5" s="1"/>
  <c r="F1428" i="5" s="1"/>
  <c r="G1428" i="5" s="1"/>
  <c r="F1429" i="5" s="1"/>
  <c r="G1429" i="5" s="1"/>
  <c r="N71" i="6"/>
  <c r="N72" i="6"/>
  <c r="N73" i="6"/>
  <c r="F879" i="5"/>
  <c r="G879" i="5" s="1"/>
  <c r="F880" i="5" s="1"/>
  <c r="G880" i="5" s="1"/>
  <c r="F881" i="5" s="1"/>
  <c r="G881" i="5" s="1"/>
  <c r="F882" i="5" s="1"/>
  <c r="G882" i="5" s="1"/>
  <c r="F883" i="5" s="1"/>
  <c r="G883" i="5" s="1"/>
  <c r="F884" i="5" s="1"/>
  <c r="G884" i="5" s="1"/>
  <c r="F885" i="5" s="1"/>
  <c r="G885" i="5" s="1"/>
  <c r="F886" i="5" s="1"/>
  <c r="G886" i="5" s="1"/>
  <c r="F887" i="5" s="1"/>
  <c r="G887" i="5" s="1"/>
  <c r="F888" i="5" s="1"/>
  <c r="G888" i="5" s="1"/>
  <c r="F889" i="5" s="1"/>
  <c r="G889" i="5" s="1"/>
  <c r="F939" i="5"/>
  <c r="G939" i="5" s="1"/>
  <c r="F940" i="5" s="1"/>
  <c r="G940" i="5" s="1"/>
  <c r="F941" i="5" s="1"/>
  <c r="G941" i="5" s="1"/>
  <c r="F942" i="5" s="1"/>
  <c r="G942" i="5" s="1"/>
  <c r="F943" i="5" s="1"/>
  <c r="G943" i="5" s="1"/>
  <c r="F944" i="5" s="1"/>
  <c r="G944" i="5" s="1"/>
  <c r="F945" i="5" s="1"/>
  <c r="G945" i="5" s="1"/>
  <c r="F946" i="5" s="1"/>
  <c r="G946" i="5" s="1"/>
  <c r="F947" i="5" s="1"/>
  <c r="G947" i="5" s="1"/>
  <c r="F948" i="5" s="1"/>
  <c r="G948" i="5" s="1"/>
  <c r="F949" i="5" s="1"/>
  <c r="G949" i="5" s="1"/>
  <c r="F987" i="5"/>
  <c r="G987" i="5" s="1"/>
  <c r="F988" i="5" s="1"/>
  <c r="G988" i="5" s="1"/>
  <c r="F989" i="5" s="1"/>
  <c r="G989" i="5" s="1"/>
  <c r="F990" i="5" s="1"/>
  <c r="G990" i="5" s="1"/>
  <c r="F991" i="5" s="1"/>
  <c r="G991" i="5" s="1"/>
  <c r="F992" i="5" s="1"/>
  <c r="G992" i="5" s="1"/>
  <c r="F993" i="5" s="1"/>
  <c r="G993" i="5" s="1"/>
  <c r="F994" i="5" s="1"/>
  <c r="G994" i="5" s="1"/>
  <c r="F995" i="5" s="1"/>
  <c r="G995" i="5" s="1"/>
  <c r="F996" i="5" s="1"/>
  <c r="G996" i="5" s="1"/>
  <c r="F997" i="5" s="1"/>
  <c r="G997" i="5" s="1"/>
  <c r="F1023" i="5"/>
  <c r="G1023" i="5" s="1"/>
  <c r="F1024" i="5" s="1"/>
  <c r="G1024" i="5" s="1"/>
  <c r="F1025" i="5" s="1"/>
  <c r="G1025" i="5" s="1"/>
  <c r="F1026" i="5" s="1"/>
  <c r="G1026" i="5" s="1"/>
  <c r="F1027" i="5" s="1"/>
  <c r="G1027" i="5" s="1"/>
  <c r="F1028" i="5" s="1"/>
  <c r="G1028" i="5" s="1"/>
  <c r="F1029" i="5" s="1"/>
  <c r="G1029" i="5" s="1"/>
  <c r="F1030" i="5" s="1"/>
  <c r="G1030" i="5" s="1"/>
  <c r="F1031" i="5" s="1"/>
  <c r="G1031" i="5" s="1"/>
  <c r="F1032" i="5" s="1"/>
  <c r="G1032" i="5" s="1"/>
  <c r="F1033" i="5" s="1"/>
  <c r="G1033" i="5" s="1"/>
  <c r="F1143" i="5"/>
  <c r="G1143" i="5" s="1"/>
  <c r="F1144" i="5" s="1"/>
  <c r="G1144" i="5" s="1"/>
  <c r="F1145" i="5" s="1"/>
  <c r="G1145" i="5" s="1"/>
  <c r="F1146" i="5" s="1"/>
  <c r="G1146" i="5" s="1"/>
  <c r="F1147" i="5" s="1"/>
  <c r="G1147" i="5" s="1"/>
  <c r="F1148" i="5" s="1"/>
  <c r="G1148" i="5" s="1"/>
  <c r="F1149" i="5" s="1"/>
  <c r="G1149" i="5" s="1"/>
  <c r="F1150" i="5" s="1"/>
  <c r="G1150" i="5" s="1"/>
  <c r="F1151" i="5" s="1"/>
  <c r="G1151" i="5" s="1"/>
  <c r="F1152" i="5" s="1"/>
  <c r="G1152" i="5" s="1"/>
  <c r="F1153" i="5" s="1"/>
  <c r="G1153" i="5" s="1"/>
  <c r="N106" i="6"/>
  <c r="F1251" i="5"/>
  <c r="G1251" i="5" s="1"/>
  <c r="F1252" i="5" s="1"/>
  <c r="G1252" i="5" s="1"/>
  <c r="F1253" i="5" s="1"/>
  <c r="G1253" i="5" s="1"/>
  <c r="F1254" i="5" s="1"/>
  <c r="G1254" i="5" s="1"/>
  <c r="F1255" i="5" s="1"/>
  <c r="G1255" i="5" s="1"/>
  <c r="F1256" i="5" s="1"/>
  <c r="G1256" i="5" s="1"/>
  <c r="F1257" i="5" s="1"/>
  <c r="G1257" i="5" s="1"/>
  <c r="F1258" i="5" s="1"/>
  <c r="G1258" i="5" s="1"/>
  <c r="F1259" i="5" s="1"/>
  <c r="G1259" i="5" s="1"/>
  <c r="F1260" i="5" s="1"/>
  <c r="G1260" i="5" s="1"/>
  <c r="F1261" i="5" s="1"/>
  <c r="G1261" i="5" s="1"/>
  <c r="N96" i="6"/>
  <c r="F1371" i="5"/>
  <c r="G1371" i="5" s="1"/>
  <c r="F1372" i="5" s="1"/>
  <c r="G1372" i="5" s="1"/>
  <c r="F1373" i="5" s="1"/>
  <c r="G1373" i="5" s="1"/>
  <c r="F1374" i="5" s="1"/>
  <c r="G1374" i="5" s="1"/>
  <c r="F1375" i="5" s="1"/>
  <c r="G1375" i="5" s="1"/>
  <c r="F1376" i="5" s="1"/>
  <c r="G1376" i="5" s="1"/>
  <c r="F1377" i="5" s="1"/>
  <c r="G1377" i="5" s="1"/>
  <c r="F1378" i="5" s="1"/>
  <c r="G1378" i="5" s="1"/>
  <c r="F1379" i="5" s="1"/>
  <c r="G1379" i="5" s="1"/>
  <c r="F1380" i="5" s="1"/>
  <c r="G1380" i="5" s="1"/>
  <c r="F1381" i="5" s="1"/>
  <c r="G1381" i="5" s="1"/>
  <c r="F1263" i="5"/>
  <c r="G1263" i="5" s="1"/>
  <c r="F1264" i="5" s="1"/>
  <c r="G1264" i="5" s="1"/>
  <c r="F1265" i="5" s="1"/>
  <c r="G1265" i="5" s="1"/>
  <c r="F1266" i="5" s="1"/>
  <c r="G1266" i="5" s="1"/>
  <c r="F1267" i="5" s="1"/>
  <c r="G1267" i="5" s="1"/>
  <c r="F1268" i="5" s="1"/>
  <c r="G1268" i="5" s="1"/>
  <c r="F1269" i="5" s="1"/>
  <c r="G1269" i="5" s="1"/>
  <c r="F1270" i="5" s="1"/>
  <c r="G1270" i="5" s="1"/>
  <c r="F1271" i="5" s="1"/>
  <c r="G1271" i="5" s="1"/>
  <c r="F1272" i="5" s="1"/>
  <c r="G1272" i="5" s="1"/>
  <c r="F1273" i="5" s="1"/>
  <c r="G1273" i="5" s="1"/>
  <c r="F1191" i="5"/>
  <c r="G1191" i="5" s="1"/>
  <c r="F1192" i="5" s="1"/>
  <c r="G1192" i="5" s="1"/>
  <c r="F1193" i="5" s="1"/>
  <c r="G1193" i="5" s="1"/>
  <c r="F1194" i="5" s="1"/>
  <c r="G1194" i="5" s="1"/>
  <c r="F1195" i="5" s="1"/>
  <c r="G1195" i="5" s="1"/>
  <c r="F1196" i="5" s="1"/>
  <c r="G1196" i="5" s="1"/>
  <c r="F1197" i="5" s="1"/>
  <c r="G1197" i="5" s="1"/>
  <c r="F1198" i="5" s="1"/>
  <c r="G1198" i="5" s="1"/>
  <c r="F1199" i="5" s="1"/>
  <c r="G1199" i="5" s="1"/>
  <c r="F1200" i="5" s="1"/>
  <c r="G1200" i="5" s="1"/>
  <c r="F1201" i="5" s="1"/>
  <c r="G1201" i="5" s="1"/>
  <c r="F1311" i="5"/>
  <c r="G1311" i="5" s="1"/>
  <c r="F1312" i="5" s="1"/>
  <c r="G1312" i="5" s="1"/>
  <c r="F1313" i="5" s="1"/>
  <c r="G1313" i="5" s="1"/>
  <c r="F1314" i="5" s="1"/>
  <c r="G1314" i="5" s="1"/>
  <c r="F1315" i="5" s="1"/>
  <c r="G1315" i="5" s="1"/>
  <c r="F1316" i="5" s="1"/>
  <c r="G1316" i="5" s="1"/>
  <c r="F1317" i="5" s="1"/>
  <c r="G1317" i="5" s="1"/>
  <c r="F1318" i="5" s="1"/>
  <c r="G1318" i="5" s="1"/>
  <c r="F1319" i="5" s="1"/>
  <c r="G1319" i="5" s="1"/>
  <c r="F1320" i="5" s="1"/>
  <c r="G1320" i="5" s="1"/>
  <c r="F1321" i="5" s="1"/>
  <c r="G1321" i="5" s="1"/>
  <c r="F1239" i="5"/>
  <c r="G1239" i="5" s="1"/>
  <c r="F1240" i="5" s="1"/>
  <c r="G1240" i="5" s="1"/>
  <c r="F1241" i="5" s="1"/>
  <c r="G1241" i="5" s="1"/>
  <c r="F1242" i="5" s="1"/>
  <c r="G1242" i="5" s="1"/>
  <c r="F1243" i="5" s="1"/>
  <c r="G1243" i="5" s="1"/>
  <c r="F1244" i="5" s="1"/>
  <c r="G1244" i="5" s="1"/>
  <c r="F1245" i="5" s="1"/>
  <c r="G1245" i="5" s="1"/>
  <c r="F1246" i="5" s="1"/>
  <c r="G1246" i="5" s="1"/>
  <c r="F1247" i="5" s="1"/>
  <c r="G1247" i="5" s="1"/>
  <c r="F1248" i="5" s="1"/>
  <c r="G1248" i="5" s="1"/>
  <c r="F1249" i="5" s="1"/>
  <c r="G1249" i="5" s="1"/>
  <c r="F1335" i="5"/>
  <c r="G1335" i="5" s="1"/>
  <c r="F1336" i="5" s="1"/>
  <c r="G1336" i="5" s="1"/>
  <c r="F1337" i="5" s="1"/>
  <c r="G1337" i="5" s="1"/>
  <c r="F1338" i="5" s="1"/>
  <c r="G1338" i="5" s="1"/>
  <c r="F1339" i="5" s="1"/>
  <c r="G1339" i="5" s="1"/>
  <c r="F1340" i="5" s="1"/>
  <c r="G1340" i="5" s="1"/>
  <c r="F1341" i="5" s="1"/>
  <c r="G1341" i="5" s="1"/>
  <c r="F1342" i="5" s="1"/>
  <c r="G1342" i="5" s="1"/>
  <c r="F1343" i="5" s="1"/>
  <c r="G1343" i="5" s="1"/>
  <c r="F1344" i="5" s="1"/>
  <c r="G1344" i="5" s="1"/>
  <c r="F1345" i="5" s="1"/>
  <c r="G1345" i="5" s="1"/>
  <c r="F1359" i="5"/>
  <c r="G1359" i="5" s="1"/>
  <c r="F1360" i="5" s="1"/>
  <c r="G1360" i="5" s="1"/>
  <c r="F1361" i="5" s="1"/>
  <c r="G1361" i="5" s="1"/>
  <c r="F1362" i="5" s="1"/>
  <c r="G1362" i="5" s="1"/>
  <c r="F1363" i="5" s="1"/>
  <c r="G1363" i="5" s="1"/>
  <c r="F1364" i="5" s="1"/>
  <c r="G1364" i="5" s="1"/>
  <c r="F1365" i="5" s="1"/>
  <c r="G1365" i="5" s="1"/>
  <c r="F1366" i="5" s="1"/>
  <c r="G1366" i="5" s="1"/>
  <c r="F1367" i="5" s="1"/>
  <c r="G1367" i="5" s="1"/>
  <c r="F1368" i="5" s="1"/>
  <c r="G1368" i="5" s="1"/>
  <c r="F1369" i="5" s="1"/>
  <c r="G1369" i="5" s="1"/>
  <c r="F1383" i="5"/>
  <c r="G1383" i="5" s="1"/>
  <c r="F1384" i="5" s="1"/>
  <c r="G1384" i="5" s="1"/>
  <c r="F1385" i="5" s="1"/>
  <c r="G1385" i="5" s="1"/>
  <c r="F1386" i="5" s="1"/>
  <c r="G1386" i="5" s="1"/>
  <c r="F1387" i="5" s="1"/>
  <c r="G1387" i="5" s="1"/>
  <c r="F1388" i="5" s="1"/>
  <c r="G1388" i="5" s="1"/>
  <c r="F1389" i="5" s="1"/>
  <c r="G1389" i="5" s="1"/>
  <c r="F1390" i="5" s="1"/>
  <c r="G1390" i="5" s="1"/>
  <c r="F1391" i="5" s="1"/>
  <c r="G1391" i="5" s="1"/>
  <c r="F1392" i="5" s="1"/>
  <c r="G1392" i="5" s="1"/>
  <c r="F1393" i="5" s="1"/>
  <c r="G1393" i="5" s="1"/>
  <c r="F1047" i="5"/>
  <c r="G1047" i="5" s="1"/>
  <c r="F1048" i="5" s="1"/>
  <c r="G1048" i="5" s="1"/>
  <c r="F1049" i="5" s="1"/>
  <c r="G1049" i="5" s="1"/>
  <c r="F1050" i="5" s="1"/>
  <c r="G1050" i="5" s="1"/>
  <c r="F1051" i="5" s="1"/>
  <c r="G1051" i="5" s="1"/>
  <c r="F1052" i="5" s="1"/>
  <c r="G1052" i="5" s="1"/>
  <c r="F1053" i="5" s="1"/>
  <c r="G1053" i="5" s="1"/>
  <c r="F1054" i="5" s="1"/>
  <c r="G1054" i="5" s="1"/>
  <c r="F1055" i="5" s="1"/>
  <c r="G1055" i="5" s="1"/>
  <c r="F1056" i="5" s="1"/>
  <c r="G1056" i="5" s="1"/>
  <c r="F1057" i="5" s="1"/>
  <c r="G1057" i="5" s="1"/>
  <c r="F1179" i="5"/>
  <c r="G1179" i="5" s="1"/>
  <c r="F1180" i="5" s="1"/>
  <c r="G1180" i="5" s="1"/>
  <c r="F1181" i="5" s="1"/>
  <c r="G1181" i="5" s="1"/>
  <c r="F1182" i="5" s="1"/>
  <c r="G1182" i="5" s="1"/>
  <c r="F1183" i="5" s="1"/>
  <c r="G1183" i="5" s="1"/>
  <c r="F1184" i="5" s="1"/>
  <c r="G1184" i="5" s="1"/>
  <c r="F1185" i="5" s="1"/>
  <c r="G1185" i="5" s="1"/>
  <c r="F1186" i="5" s="1"/>
  <c r="G1186" i="5" s="1"/>
  <c r="F1187" i="5" s="1"/>
  <c r="G1187" i="5" s="1"/>
  <c r="F1188" i="5" s="1"/>
  <c r="G1188" i="5" s="1"/>
  <c r="F1189" i="5" s="1"/>
  <c r="G1189" i="5" s="1"/>
  <c r="F1275" i="5"/>
  <c r="G1275" i="5" s="1"/>
  <c r="F1276" i="5" s="1"/>
  <c r="G1276" i="5" s="1"/>
  <c r="F1277" i="5" s="1"/>
  <c r="G1277" i="5" s="1"/>
  <c r="F1278" i="5" s="1"/>
  <c r="G1278" i="5" s="1"/>
  <c r="F1279" i="5" s="1"/>
  <c r="G1279" i="5" s="1"/>
  <c r="F1280" i="5" s="1"/>
  <c r="G1280" i="5" s="1"/>
  <c r="F1281" i="5" s="1"/>
  <c r="G1281" i="5" s="1"/>
  <c r="F1282" i="5" s="1"/>
  <c r="G1282" i="5" s="1"/>
  <c r="F1283" i="5" s="1"/>
  <c r="G1283" i="5" s="1"/>
  <c r="F1284" i="5" s="1"/>
  <c r="G1284" i="5" s="1"/>
  <c r="F1285" i="5" s="1"/>
  <c r="G1285" i="5" s="1"/>
  <c r="F1227" i="5"/>
  <c r="G1227" i="5" s="1"/>
  <c r="F1228" i="5" s="1"/>
  <c r="G1228" i="5" s="1"/>
  <c r="F1229" i="5" s="1"/>
  <c r="G1229" i="5" s="1"/>
  <c r="F1230" i="5" s="1"/>
  <c r="G1230" i="5" s="1"/>
  <c r="F1231" i="5" s="1"/>
  <c r="G1231" i="5" s="1"/>
  <c r="F1232" i="5" s="1"/>
  <c r="G1232" i="5" s="1"/>
  <c r="F1233" i="5" s="1"/>
  <c r="G1233" i="5" s="1"/>
  <c r="F1234" i="5" s="1"/>
  <c r="G1234" i="5" s="1"/>
  <c r="F1235" i="5" s="1"/>
  <c r="G1235" i="5" s="1"/>
  <c r="F1236" i="5" s="1"/>
  <c r="G1236" i="5" s="1"/>
  <c r="F1237" i="5" s="1"/>
  <c r="G1237" i="5" s="1"/>
  <c r="P9" i="6"/>
  <c r="V9" i="6" s="1"/>
  <c r="K3" i="6"/>
  <c r="P5" i="6"/>
  <c r="V5" i="6" s="1"/>
  <c r="P7" i="6"/>
  <c r="V7" i="6" s="1"/>
  <c r="P10" i="6"/>
  <c r="P13" i="6"/>
  <c r="V13" i="6" s="1"/>
  <c r="P24" i="6"/>
  <c r="V24" i="6" s="1"/>
  <c r="F1407" i="5"/>
  <c r="G1407" i="5" s="1"/>
  <c r="F1408" i="5" s="1"/>
  <c r="G1408" i="5" s="1"/>
  <c r="F1409" i="5" s="1"/>
  <c r="G1409" i="5" s="1"/>
  <c r="F1410" i="5" s="1"/>
  <c r="G1410" i="5" s="1"/>
  <c r="F1411" i="5" s="1"/>
  <c r="G1411" i="5" s="1"/>
  <c r="F1412" i="5" s="1"/>
  <c r="G1412" i="5" s="1"/>
  <c r="F1413" i="5" s="1"/>
  <c r="G1413" i="5" s="1"/>
  <c r="F1414" i="5" s="1"/>
  <c r="G1414" i="5" s="1"/>
  <c r="F1415" i="5" s="1"/>
  <c r="G1415" i="5" s="1"/>
  <c r="F1416" i="5" s="1"/>
  <c r="G1416" i="5" s="1"/>
  <c r="F1417" i="5" s="1"/>
  <c r="G1417" i="5" s="1"/>
  <c r="K10" i="6"/>
  <c r="V21" i="6"/>
  <c r="P12" i="6"/>
  <c r="V12" i="6" s="1"/>
  <c r="P39" i="6"/>
  <c r="K11" i="6"/>
  <c r="K22" i="6"/>
  <c r="K41" i="6"/>
  <c r="P43" i="6"/>
  <c r="V43" i="6" s="1"/>
  <c r="P72" i="6"/>
  <c r="K37" i="6"/>
  <c r="P45" i="6"/>
  <c r="V45" i="6" s="1"/>
  <c r="P76" i="6"/>
  <c r="V76" i="6" s="1"/>
  <c r="K34" i="6"/>
  <c r="P44" i="6"/>
  <c r="V44" i="6" s="1"/>
  <c r="K51" i="6"/>
  <c r="P74" i="6"/>
  <c r="K61" i="6"/>
  <c r="P62" i="6"/>
  <c r="V62" i="6" s="1"/>
  <c r="K57" i="6"/>
  <c r="P58" i="6"/>
  <c r="P79" i="6"/>
  <c r="P93" i="6"/>
  <c r="P89" i="6"/>
  <c r="P109" i="6"/>
  <c r="K78" i="6"/>
  <c r="K87" i="6"/>
  <c r="P99" i="6"/>
  <c r="P110" i="6"/>
  <c r="V110" i="6" s="1"/>
  <c r="K93" i="6"/>
  <c r="K89" i="6"/>
  <c r="P121" i="6"/>
  <c r="V121" i="6" s="1"/>
  <c r="P101" i="6"/>
  <c r="V101" i="6" s="1"/>
  <c r="P118" i="6"/>
  <c r="V91" i="6" l="1"/>
  <c r="V85" i="6"/>
  <c r="V29" i="6"/>
  <c r="V53" i="6"/>
  <c r="V71" i="6"/>
  <c r="V28" i="6"/>
  <c r="D46" i="2"/>
  <c r="V82" i="6"/>
  <c r="X82" i="6" s="1"/>
  <c r="V80" i="6"/>
  <c r="V60" i="6"/>
  <c r="V19" i="6"/>
  <c r="E43" i="2"/>
  <c r="V72" i="6"/>
  <c r="E41" i="2"/>
  <c r="V47" i="6"/>
  <c r="D42" i="2"/>
  <c r="V14" i="6"/>
  <c r="V118" i="6"/>
  <c r="V99" i="6"/>
  <c r="X99" i="6" s="1"/>
  <c r="V79" i="6"/>
  <c r="D48" i="2"/>
  <c r="V38" i="6"/>
  <c r="V15" i="6"/>
  <c r="D16" i="2"/>
  <c r="V2" i="6"/>
  <c r="V66" i="6"/>
  <c r="V8" i="6"/>
  <c r="V73" i="6"/>
  <c r="V65" i="6"/>
  <c r="V35" i="6"/>
  <c r="D40" i="2"/>
  <c r="B40" i="2"/>
  <c r="D44" i="2"/>
  <c r="D39" i="2"/>
  <c r="B37" i="2"/>
  <c r="D45" i="2"/>
  <c r="D47" i="2"/>
  <c r="V100" i="6"/>
  <c r="V109" i="6"/>
  <c r="V58" i="6"/>
  <c r="V106" i="6"/>
  <c r="V40" i="6"/>
  <c r="V17" i="6"/>
  <c r="Q2" i="6"/>
  <c r="U2" i="6" s="1"/>
  <c r="B38" i="2"/>
  <c r="D14" i="2"/>
  <c r="B47" i="2"/>
  <c r="D37" i="2"/>
  <c r="V74" i="6"/>
  <c r="X74" i="6" s="1"/>
  <c r="V67" i="6"/>
  <c r="B45" i="2"/>
  <c r="V6" i="6"/>
  <c r="B46" i="2"/>
  <c r="B43" i="2"/>
  <c r="D38" i="2"/>
  <c r="D41" i="2"/>
  <c r="V39" i="6"/>
  <c r="B44" i="2"/>
  <c r="B41" i="2"/>
  <c r="B42" i="2"/>
  <c r="B39" i="2"/>
  <c r="V37" i="6"/>
  <c r="E47" i="2"/>
  <c r="E38" i="2"/>
  <c r="E40" i="2"/>
  <c r="E42" i="2"/>
  <c r="C47" i="2"/>
  <c r="E46" i="2"/>
  <c r="C45" i="2"/>
  <c r="C43" i="2"/>
  <c r="D15" i="2"/>
  <c r="C41" i="2"/>
  <c r="C39" i="2"/>
  <c r="E44" i="2"/>
  <c r="D17" i="2"/>
  <c r="C46" i="2"/>
  <c r="E39" i="2"/>
  <c r="C37" i="2"/>
  <c r="N95" i="6"/>
  <c r="Q95" i="6" s="1"/>
  <c r="R95" i="6" s="1"/>
  <c r="N48" i="6"/>
  <c r="V93" i="6"/>
  <c r="X93" i="6" s="1"/>
  <c r="P86" i="6"/>
  <c r="V86" i="6" s="1"/>
  <c r="X86" i="6" s="1"/>
  <c r="N113" i="6"/>
  <c r="Q113" i="6" s="1"/>
  <c r="R113" i="6" s="1"/>
  <c r="P113" i="6"/>
  <c r="V113" i="6" s="1"/>
  <c r="P98" i="6"/>
  <c r="V98" i="6" s="1"/>
  <c r="X98" i="6" s="1"/>
  <c r="P69" i="6"/>
  <c r="V69" i="6" s="1"/>
  <c r="P105" i="6"/>
  <c r="V105" i="6" s="1"/>
  <c r="N82" i="6"/>
  <c r="O82" i="6" s="1"/>
  <c r="N85" i="6"/>
  <c r="Q85" i="6" s="1"/>
  <c r="R85" i="6" s="1"/>
  <c r="N23" i="6"/>
  <c r="Q23" i="6" s="1"/>
  <c r="R23" i="6" s="1"/>
  <c r="P95" i="6"/>
  <c r="V95" i="6" s="1"/>
  <c r="P107" i="6"/>
  <c r="V107" i="6" s="1"/>
  <c r="N107" i="6"/>
  <c r="O107" i="6" s="1"/>
  <c r="N76" i="6"/>
  <c r="O76" i="6" s="1"/>
  <c r="N19" i="6"/>
  <c r="Q19" i="6" s="1"/>
  <c r="N11" i="6"/>
  <c r="O11" i="6" s="1"/>
  <c r="N115" i="6"/>
  <c r="O115" i="6" s="1"/>
  <c r="N101" i="6"/>
  <c r="O101" i="6" s="1"/>
  <c r="N97" i="6"/>
  <c r="O97" i="6" s="1"/>
  <c r="N109" i="6"/>
  <c r="O109" i="6" s="1"/>
  <c r="N81" i="6"/>
  <c r="Q81" i="6" s="1"/>
  <c r="R81" i="6" s="1"/>
  <c r="N68" i="6"/>
  <c r="O68" i="6" s="1"/>
  <c r="N10" i="6"/>
  <c r="O10" i="6" s="1"/>
  <c r="N49" i="6"/>
  <c r="N32" i="6"/>
  <c r="N75" i="6"/>
  <c r="Q75" i="6" s="1"/>
  <c r="R75" i="6" s="1"/>
  <c r="N99" i="6"/>
  <c r="O99" i="6" s="1"/>
  <c r="N88" i="6"/>
  <c r="O88" i="6" s="1"/>
  <c r="N64" i="6"/>
  <c r="O64" i="6" s="1"/>
  <c r="N53" i="6"/>
  <c r="Q53" i="6" s="1"/>
  <c r="N3" i="6"/>
  <c r="O3" i="6" s="1"/>
  <c r="P4" i="6"/>
  <c r="V4" i="6" s="1"/>
  <c r="N83" i="6"/>
  <c r="Q83" i="6" s="1"/>
  <c r="R83" i="6" s="1"/>
  <c r="N60" i="6"/>
  <c r="O60" i="6" s="1"/>
  <c r="P97" i="6"/>
  <c r="V97" i="6" s="1"/>
  <c r="X97" i="6" s="1"/>
  <c r="P94" i="6"/>
  <c r="V94" i="6" s="1"/>
  <c r="P83" i="6"/>
  <c r="V83" i="6" s="1"/>
  <c r="X83" i="6" s="1"/>
  <c r="P68" i="6"/>
  <c r="V68" i="6" s="1"/>
  <c r="N98" i="6"/>
  <c r="Q98" i="6" s="1"/>
  <c r="R98" i="6" s="1"/>
  <c r="N94" i="6"/>
  <c r="O94" i="6" s="1"/>
  <c r="N57" i="6"/>
  <c r="Q57" i="6" s="1"/>
  <c r="N52" i="6"/>
  <c r="O52" i="6" s="1"/>
  <c r="N110" i="6"/>
  <c r="Q110" i="6" s="1"/>
  <c r="R110" i="6" s="1"/>
  <c r="P32" i="6"/>
  <c r="V32" i="6" s="1"/>
  <c r="P11" i="6"/>
  <c r="V11" i="6" s="1"/>
  <c r="V41" i="6"/>
  <c r="N84" i="6"/>
  <c r="Q84" i="6" s="1"/>
  <c r="R84" i="6" s="1"/>
  <c r="N100" i="6"/>
  <c r="Q100" i="6" s="1"/>
  <c r="R100" i="6" s="1"/>
  <c r="N69" i="6"/>
  <c r="O69" i="6" s="1"/>
  <c r="N103" i="6"/>
  <c r="Q103" i="6" s="1"/>
  <c r="R103" i="6" s="1"/>
  <c r="N4" i="6"/>
  <c r="Q4" i="6" s="1"/>
  <c r="P75" i="6"/>
  <c r="V75" i="6" s="1"/>
  <c r="X75" i="6" s="1"/>
  <c r="P54" i="6"/>
  <c r="V54" i="6" s="1"/>
  <c r="P81" i="6"/>
  <c r="V81" i="6" s="1"/>
  <c r="P103" i="6"/>
  <c r="V103" i="6" s="1"/>
  <c r="N119" i="6"/>
  <c r="O119" i="6" s="1"/>
  <c r="N120" i="6"/>
  <c r="Q120" i="6" s="1"/>
  <c r="R120" i="6" s="1"/>
  <c r="P120" i="6"/>
  <c r="V120" i="6" s="1"/>
  <c r="P27" i="6"/>
  <c r="V27" i="6" s="1"/>
  <c r="N105" i="6"/>
  <c r="Q105" i="6" s="1"/>
  <c r="R105" i="6" s="1"/>
  <c r="N121" i="6"/>
  <c r="O121" i="6" s="1"/>
  <c r="P114" i="6"/>
  <c r="V114" i="6" s="1"/>
  <c r="P84" i="6"/>
  <c r="V84" i="6" s="1"/>
  <c r="X84" i="6" s="1"/>
  <c r="P63" i="6"/>
  <c r="V63" i="6" s="1"/>
  <c r="P23" i="6"/>
  <c r="V23" i="6" s="1"/>
  <c r="N89" i="6"/>
  <c r="Q89" i="6" s="1"/>
  <c r="N80" i="6"/>
  <c r="O80" i="6" s="1"/>
  <c r="N114" i="6"/>
  <c r="Q114" i="6" s="1"/>
  <c r="R114" i="6" s="1"/>
  <c r="N86" i="6"/>
  <c r="Q86" i="6" s="1"/>
  <c r="R86" i="6" s="1"/>
  <c r="N61" i="6"/>
  <c r="O61" i="6" s="1"/>
  <c r="N56" i="6"/>
  <c r="Q56" i="6" s="1"/>
  <c r="N12" i="6"/>
  <c r="O12" i="6" s="1"/>
  <c r="N27" i="6"/>
  <c r="O27" i="6" s="1"/>
  <c r="N30" i="6"/>
  <c r="Q30" i="6" s="1"/>
  <c r="R30" i="6" s="1"/>
  <c r="X85" i="6"/>
  <c r="X76" i="6"/>
  <c r="X96" i="6"/>
  <c r="N87" i="6"/>
  <c r="Q74" i="6"/>
  <c r="R74" i="6" s="1"/>
  <c r="O74" i="6"/>
  <c r="O13" i="6"/>
  <c r="Q13" i="6"/>
  <c r="R13" i="6" s="1"/>
  <c r="V89" i="6"/>
  <c r="P77" i="6"/>
  <c r="V77" i="6" s="1"/>
  <c r="P115" i="6"/>
  <c r="V115" i="6" s="1"/>
  <c r="N111" i="6"/>
  <c r="N116" i="6"/>
  <c r="N112" i="6"/>
  <c r="O91" i="6"/>
  <c r="Q91" i="6"/>
  <c r="R91" i="6" s="1"/>
  <c r="Q44" i="6"/>
  <c r="O44" i="6"/>
  <c r="N63" i="6"/>
  <c r="N59" i="6"/>
  <c r="N55" i="6"/>
  <c r="N51" i="6"/>
  <c r="N102" i="6"/>
  <c r="N40" i="6"/>
  <c r="O17" i="6"/>
  <c r="Q17" i="6"/>
  <c r="R17" i="6" s="1"/>
  <c r="O23" i="6"/>
  <c r="O5" i="6"/>
  <c r="Q5" i="6"/>
  <c r="R5" i="6" s="1"/>
  <c r="N31" i="6"/>
  <c r="X101" i="6"/>
  <c r="Q14" i="6"/>
  <c r="O14" i="6"/>
  <c r="P117" i="6"/>
  <c r="V117" i="6" s="1"/>
  <c r="Q96" i="6"/>
  <c r="R96" i="6" s="1"/>
  <c r="O96" i="6"/>
  <c r="L18" i="2"/>
  <c r="O103" i="6"/>
  <c r="Q93" i="6"/>
  <c r="U93" i="6" s="1"/>
  <c r="O93" i="6"/>
  <c r="O36" i="6"/>
  <c r="Q36" i="6"/>
  <c r="Q46" i="6"/>
  <c r="O46" i="6"/>
  <c r="P34" i="6"/>
  <c r="V34" i="6" s="1"/>
  <c r="Q22" i="6"/>
  <c r="O22" i="6"/>
  <c r="N26" i="6"/>
  <c r="Q78" i="6"/>
  <c r="O78" i="6"/>
  <c r="N104" i="6"/>
  <c r="O71" i="6"/>
  <c r="Q71" i="6"/>
  <c r="O37" i="6"/>
  <c r="Q37" i="6"/>
  <c r="P51" i="6"/>
  <c r="V51" i="6" s="1"/>
  <c r="N70" i="6"/>
  <c r="V78" i="6"/>
  <c r="P70" i="6"/>
  <c r="V70" i="6" s="1"/>
  <c r="P104" i="6"/>
  <c r="V104" i="6" s="1"/>
  <c r="P31" i="6"/>
  <c r="V31" i="6" s="1"/>
  <c r="N108" i="6"/>
  <c r="N90" i="6"/>
  <c r="Q66" i="6"/>
  <c r="O66" i="6"/>
  <c r="N62" i="6"/>
  <c r="N58" i="6"/>
  <c r="N54" i="6"/>
  <c r="N50" i="6"/>
  <c r="Q38" i="6"/>
  <c r="R38" i="6" s="1"/>
  <c r="O38" i="6"/>
  <c r="N34" i="6"/>
  <c r="O9" i="6"/>
  <c r="Q9" i="6"/>
  <c r="O65" i="6"/>
  <c r="Q65" i="6"/>
  <c r="O8" i="6"/>
  <c r="Q8" i="6"/>
  <c r="R8" i="6" s="1"/>
  <c r="N16" i="6"/>
  <c r="P30" i="6"/>
  <c r="V30" i="6" s="1"/>
  <c r="X90" i="6"/>
  <c r="Q60" i="6"/>
  <c r="L15" i="2"/>
  <c r="N117" i="6"/>
  <c r="P112" i="6"/>
  <c r="V112" i="6" s="1"/>
  <c r="N42" i="6"/>
  <c r="P108" i="6"/>
  <c r="V108" i="6" s="1"/>
  <c r="X88" i="6"/>
  <c r="P20" i="6"/>
  <c r="V20" i="6" s="1"/>
  <c r="V10" i="6"/>
  <c r="X80" i="6"/>
  <c r="V57" i="6"/>
  <c r="P42" i="6"/>
  <c r="V42" i="6" s="1"/>
  <c r="P116" i="6"/>
  <c r="V116" i="6" s="1"/>
  <c r="P111" i="6"/>
  <c r="V111" i="6" s="1"/>
  <c r="P87" i="6"/>
  <c r="V87" i="6" s="1"/>
  <c r="V22" i="6"/>
  <c r="O106" i="6"/>
  <c r="Q106" i="6"/>
  <c r="R106" i="6" s="1"/>
  <c r="O47" i="6"/>
  <c r="Q47" i="6"/>
  <c r="P61" i="6"/>
  <c r="V61" i="6" s="1"/>
  <c r="V49" i="6"/>
  <c r="O43" i="6"/>
  <c r="Q43" i="6"/>
  <c r="R43" i="6" s="1"/>
  <c r="Q29" i="6"/>
  <c r="R29" i="6" s="1"/>
  <c r="O29" i="6"/>
  <c r="Q28" i="6"/>
  <c r="R28" i="6" s="1"/>
  <c r="O28" i="6"/>
  <c r="Q15" i="6"/>
  <c r="R15" i="6" s="1"/>
  <c r="O15" i="6"/>
  <c r="V48" i="6"/>
  <c r="L14" i="2"/>
  <c r="L16" i="2"/>
  <c r="O72" i="6"/>
  <c r="Q72" i="6"/>
  <c r="O18" i="6"/>
  <c r="Q18" i="6"/>
  <c r="R18" i="6" s="1"/>
  <c r="N92" i="6"/>
  <c r="O6" i="6"/>
  <c r="Q6" i="6"/>
  <c r="R6" i="6" s="1"/>
  <c r="P59" i="6"/>
  <c r="V59" i="6" s="1"/>
  <c r="P119" i="6"/>
  <c r="V119" i="6" s="1"/>
  <c r="N79" i="6"/>
  <c r="O39" i="6"/>
  <c r="Q39" i="6"/>
  <c r="R39" i="6" s="1"/>
  <c r="O67" i="6"/>
  <c r="Q67" i="6"/>
  <c r="R67" i="6" s="1"/>
  <c r="Q61" i="6"/>
  <c r="O57" i="6"/>
  <c r="O49" i="6"/>
  <c r="Q49" i="6"/>
  <c r="Q35" i="6"/>
  <c r="O35" i="6"/>
  <c r="O25" i="6"/>
  <c r="Q25" i="6"/>
  <c r="R25" i="6" s="1"/>
  <c r="Q24" i="6"/>
  <c r="R24" i="6" s="1"/>
  <c r="O24" i="6"/>
  <c r="O48" i="6"/>
  <c r="Q48" i="6"/>
  <c r="Q11" i="6"/>
  <c r="X81" i="6"/>
  <c r="O33" i="6"/>
  <c r="Q33" i="6"/>
  <c r="R33" i="6" s="1"/>
  <c r="O32" i="6"/>
  <c r="Q32" i="6"/>
  <c r="R32" i="6" s="1"/>
  <c r="P92" i="6"/>
  <c r="V92" i="6" s="1"/>
  <c r="N118" i="6"/>
  <c r="P102" i="6"/>
  <c r="V102" i="6" s="1"/>
  <c r="X79" i="6"/>
  <c r="P55" i="6"/>
  <c r="V55" i="6" s="1"/>
  <c r="X91" i="6"/>
  <c r="P16" i="6"/>
  <c r="V16" i="6" s="1"/>
  <c r="O73" i="6"/>
  <c r="Q73" i="6"/>
  <c r="N77" i="6"/>
  <c r="Q45" i="6"/>
  <c r="O45" i="6"/>
  <c r="P64" i="6"/>
  <c r="V64" i="6" s="1"/>
  <c r="P56" i="6"/>
  <c r="V56" i="6" s="1"/>
  <c r="P52" i="6"/>
  <c r="V52" i="6" s="1"/>
  <c r="O41" i="6"/>
  <c r="Q41" i="6"/>
  <c r="O21" i="6"/>
  <c r="Q21" i="6"/>
  <c r="R21" i="6" s="1"/>
  <c r="N20" i="6"/>
  <c r="O85" i="6"/>
  <c r="O7" i="6"/>
  <c r="Q7" i="6"/>
  <c r="R7" i="6" s="1"/>
  <c r="L17" i="2"/>
  <c r="P3" i="6"/>
  <c r="V3" i="6" s="1"/>
  <c r="Q119" i="6" l="1"/>
  <c r="R119" i="6" s="1"/>
  <c r="Q82" i="6"/>
  <c r="R82" i="6" s="1"/>
  <c r="R35" i="6"/>
  <c r="Q80" i="6"/>
  <c r="R80" i="6" s="1"/>
  <c r="O4" i="6"/>
  <c r="R4" i="6" s="1"/>
  <c r="O110" i="6"/>
  <c r="O113" i="6"/>
  <c r="Q97" i="6"/>
  <c r="R97" i="6" s="1"/>
  <c r="R72" i="6"/>
  <c r="O83" i="6"/>
  <c r="X2" i="6"/>
  <c r="O89" i="6"/>
  <c r="Q69" i="6"/>
  <c r="R69" i="6" s="1"/>
  <c r="Q115" i="6"/>
  <c r="R115" i="6" s="1"/>
  <c r="R73" i="6"/>
  <c r="Q101" i="6"/>
  <c r="R101" i="6" s="1"/>
  <c r="O75" i="6"/>
  <c r="R65" i="6"/>
  <c r="R36" i="6"/>
  <c r="O95" i="6"/>
  <c r="O98" i="6"/>
  <c r="O84" i="6"/>
  <c r="O30" i="6"/>
  <c r="R60" i="6"/>
  <c r="Q10" i="6"/>
  <c r="U10" i="6" s="1"/>
  <c r="R71" i="6"/>
  <c r="O19" i="6"/>
  <c r="R19" i="6" s="1"/>
  <c r="R48" i="6"/>
  <c r="R49" i="6"/>
  <c r="Q3" i="6"/>
  <c r="S3" i="6" s="1"/>
  <c r="T3" i="6" s="1"/>
  <c r="R9" i="6"/>
  <c r="Q52" i="6"/>
  <c r="R52" i="6" s="1"/>
  <c r="S11" i="6"/>
  <c r="T11" i="6" s="1"/>
  <c r="R11" i="6"/>
  <c r="R45" i="6"/>
  <c r="O105" i="6"/>
  <c r="X100" i="6"/>
  <c r="S2" i="6"/>
  <c r="T2" i="6" s="1"/>
  <c r="R2" i="6"/>
  <c r="W2" i="6" s="1"/>
  <c r="S41" i="6"/>
  <c r="T41" i="6" s="1"/>
  <c r="R41" i="6"/>
  <c r="O100" i="6"/>
  <c r="R47" i="6"/>
  <c r="R14" i="6"/>
  <c r="S89" i="6"/>
  <c r="T89" i="6" s="1"/>
  <c r="R89" i="6"/>
  <c r="R66" i="6"/>
  <c r="S93" i="6"/>
  <c r="T93" i="6" s="1"/>
  <c r="R93" i="6"/>
  <c r="W93" i="6"/>
  <c r="Q88" i="6"/>
  <c r="R88" i="6" s="1"/>
  <c r="S61" i="6"/>
  <c r="T61" i="6" s="1"/>
  <c r="R61" i="6"/>
  <c r="S22" i="6"/>
  <c r="T22" i="6" s="1"/>
  <c r="R22" i="6"/>
  <c r="S57" i="6"/>
  <c r="T57" i="6" s="1"/>
  <c r="R57" i="6"/>
  <c r="S37" i="6"/>
  <c r="T37" i="6" s="1"/>
  <c r="R37" i="6"/>
  <c r="Q109" i="6"/>
  <c r="R109" i="6" s="1"/>
  <c r="Q99" i="6"/>
  <c r="R99" i="6" s="1"/>
  <c r="S78" i="6"/>
  <c r="T78" i="6" s="1"/>
  <c r="R78" i="6"/>
  <c r="R46" i="6"/>
  <c r="R44" i="6"/>
  <c r="O81" i="6"/>
  <c r="Q107" i="6"/>
  <c r="R107" i="6" s="1"/>
  <c r="Q121" i="6"/>
  <c r="R121" i="6" s="1"/>
  <c r="Q64" i="6"/>
  <c r="U64" i="6" s="1"/>
  <c r="O86" i="6"/>
  <c r="Q27" i="6"/>
  <c r="O120" i="6"/>
  <c r="X94" i="6"/>
  <c r="O56" i="6"/>
  <c r="R56" i="6" s="1"/>
  <c r="O114" i="6"/>
  <c r="X95" i="6"/>
  <c r="Q94" i="6"/>
  <c r="R94" i="6" s="1"/>
  <c r="Q12" i="6"/>
  <c r="R12" i="6" s="1"/>
  <c r="Q68" i="6"/>
  <c r="R68" i="6" s="1"/>
  <c r="Q76" i="6"/>
  <c r="U89" i="6"/>
  <c r="O53" i="6"/>
  <c r="R53" i="6" s="1"/>
  <c r="U37" i="6"/>
  <c r="M16" i="2"/>
  <c r="U11" i="6"/>
  <c r="X11" i="6" s="1"/>
  <c r="U22" i="6"/>
  <c r="U41" i="6"/>
  <c r="O50" i="6"/>
  <c r="Q50" i="6"/>
  <c r="R50" i="6" s="1"/>
  <c r="S98" i="6"/>
  <c r="T98" i="6" s="1"/>
  <c r="U98" i="6"/>
  <c r="S44" i="6"/>
  <c r="T44" i="6" s="1"/>
  <c r="U44" i="6"/>
  <c r="Q118" i="6"/>
  <c r="R118" i="6" s="1"/>
  <c r="O118" i="6"/>
  <c r="S39" i="6"/>
  <c r="T39" i="6" s="1"/>
  <c r="U39" i="6"/>
  <c r="W39" i="6" s="1"/>
  <c r="S56" i="6"/>
  <c r="T56" i="6" s="1"/>
  <c r="U56" i="6"/>
  <c r="S43" i="6"/>
  <c r="T43" i="6" s="1"/>
  <c r="U43" i="6"/>
  <c r="W43" i="6" s="1"/>
  <c r="S47" i="6"/>
  <c r="T47" i="6" s="1"/>
  <c r="U47" i="6"/>
  <c r="S86" i="6"/>
  <c r="T86" i="6" s="1"/>
  <c r="U86" i="6"/>
  <c r="S65" i="6"/>
  <c r="T65" i="6" s="1"/>
  <c r="U65" i="6"/>
  <c r="Q54" i="6"/>
  <c r="O54" i="6"/>
  <c r="S71" i="6"/>
  <c r="T71" i="6" s="1"/>
  <c r="U71" i="6"/>
  <c r="S82" i="6"/>
  <c r="T82" i="6" s="1"/>
  <c r="U82" i="6"/>
  <c r="O40" i="6"/>
  <c r="Q40" i="6"/>
  <c r="R40" i="6" s="1"/>
  <c r="S91" i="6"/>
  <c r="T91" i="6" s="1"/>
  <c r="U91" i="6"/>
  <c r="O20" i="6"/>
  <c r="Q20" i="6"/>
  <c r="X92" i="6"/>
  <c r="S24" i="6"/>
  <c r="T24" i="6" s="1"/>
  <c r="U24" i="6"/>
  <c r="W24" i="6" s="1"/>
  <c r="S53" i="6"/>
  <c r="T53" i="6" s="1"/>
  <c r="U53" i="6"/>
  <c r="O58" i="6"/>
  <c r="Q58" i="6"/>
  <c r="U78" i="6"/>
  <c r="Q26" i="6"/>
  <c r="R26" i="6" s="1"/>
  <c r="O26" i="6"/>
  <c r="S46" i="6"/>
  <c r="T46" i="6" s="1"/>
  <c r="U46" i="6"/>
  <c r="S120" i="6"/>
  <c r="T120" i="6" s="1"/>
  <c r="U120" i="6"/>
  <c r="W120" i="6" s="1"/>
  <c r="O31" i="6"/>
  <c r="Q31" i="6"/>
  <c r="R31" i="6" s="1"/>
  <c r="O102" i="6"/>
  <c r="Q102" i="6"/>
  <c r="R102" i="6" s="1"/>
  <c r="S85" i="6"/>
  <c r="T85" i="6" s="1"/>
  <c r="U85" i="6"/>
  <c r="Q77" i="6"/>
  <c r="R77" i="6" s="1"/>
  <c r="O77" i="6"/>
  <c r="S105" i="6"/>
  <c r="T105" i="6" s="1"/>
  <c r="U105" i="6"/>
  <c r="W105" i="6" s="1"/>
  <c r="S25" i="6"/>
  <c r="T25" i="6" s="1"/>
  <c r="U25" i="6"/>
  <c r="W25" i="6" s="1"/>
  <c r="Q79" i="6"/>
  <c r="R79" i="6" s="1"/>
  <c r="O79" i="6"/>
  <c r="S72" i="6"/>
  <c r="T72" i="6" s="1"/>
  <c r="U72" i="6"/>
  <c r="W72" i="6" s="1"/>
  <c r="U57" i="6"/>
  <c r="Q117" i="6"/>
  <c r="R117" i="6" s="1"/>
  <c r="O117" i="6"/>
  <c r="S60" i="6"/>
  <c r="T60" i="6" s="1"/>
  <c r="U60" i="6"/>
  <c r="S9" i="6"/>
  <c r="T9" i="6" s="1"/>
  <c r="U9" i="6"/>
  <c r="Q62" i="6"/>
  <c r="O62" i="6"/>
  <c r="X78" i="6"/>
  <c r="O104" i="6"/>
  <c r="Q104" i="6"/>
  <c r="R104" i="6" s="1"/>
  <c r="S36" i="6"/>
  <c r="T36" i="6" s="1"/>
  <c r="U36" i="6"/>
  <c r="S103" i="6"/>
  <c r="T103" i="6" s="1"/>
  <c r="U103" i="6"/>
  <c r="W103" i="6" s="1"/>
  <c r="S84" i="6"/>
  <c r="T84" i="6" s="1"/>
  <c r="U84" i="6"/>
  <c r="S83" i="6"/>
  <c r="T83" i="6" s="1"/>
  <c r="U83" i="6"/>
  <c r="S5" i="6"/>
  <c r="T5" i="6" s="1"/>
  <c r="U5" i="6"/>
  <c r="W5" i="6" s="1"/>
  <c r="O51" i="6"/>
  <c r="Q51" i="6"/>
  <c r="Q112" i="6"/>
  <c r="R112" i="6" s="1"/>
  <c r="O112" i="6"/>
  <c r="S74" i="6"/>
  <c r="T74" i="6" s="1"/>
  <c r="U74" i="6"/>
  <c r="Q42" i="6"/>
  <c r="R42" i="6" s="1"/>
  <c r="O42" i="6"/>
  <c r="S13" i="6"/>
  <c r="T13" i="6" s="1"/>
  <c r="U13" i="6"/>
  <c r="W13" i="6" s="1"/>
  <c r="S4" i="6"/>
  <c r="T4" i="6" s="1"/>
  <c r="U4" i="6"/>
  <c r="S97" i="6"/>
  <c r="T97" i="6" s="1"/>
  <c r="U97" i="6"/>
  <c r="S110" i="6"/>
  <c r="T110" i="6" s="1"/>
  <c r="U110" i="6"/>
  <c r="W110" i="6" s="1"/>
  <c r="S100" i="6"/>
  <c r="T100" i="6" s="1"/>
  <c r="U100" i="6"/>
  <c r="O16" i="6"/>
  <c r="Q16" i="6"/>
  <c r="R16" i="6" s="1"/>
  <c r="Q116" i="6"/>
  <c r="R116" i="6" s="1"/>
  <c r="O116" i="6"/>
  <c r="S119" i="6"/>
  <c r="T119" i="6" s="1"/>
  <c r="U119" i="6"/>
  <c r="S32" i="6"/>
  <c r="T32" i="6" s="1"/>
  <c r="U32" i="6"/>
  <c r="W32" i="6" s="1"/>
  <c r="Q34" i="6"/>
  <c r="O34" i="6"/>
  <c r="S66" i="6"/>
  <c r="T66" i="6" s="1"/>
  <c r="U66" i="6"/>
  <c r="O59" i="6"/>
  <c r="Q59" i="6"/>
  <c r="O111" i="6"/>
  <c r="Q111" i="6"/>
  <c r="R111" i="6" s="1"/>
  <c r="M17" i="2"/>
  <c r="S29" i="6"/>
  <c r="T29" i="6" s="1"/>
  <c r="U29" i="6"/>
  <c r="W29" i="6" s="1"/>
  <c r="S12" i="6"/>
  <c r="T12" i="6" s="1"/>
  <c r="U12" i="6"/>
  <c r="W12" i="6" s="1"/>
  <c r="X89" i="6"/>
  <c r="S6" i="6"/>
  <c r="T6" i="6" s="1"/>
  <c r="U6" i="6"/>
  <c r="W6" i="6" s="1"/>
  <c r="S15" i="6"/>
  <c r="T15" i="6" s="1"/>
  <c r="U15" i="6"/>
  <c r="W15" i="6" s="1"/>
  <c r="S81" i="6"/>
  <c r="T81" i="6" s="1"/>
  <c r="U81" i="6"/>
  <c r="S114" i="6"/>
  <c r="T114" i="6" s="1"/>
  <c r="U114" i="6"/>
  <c r="W114" i="6" s="1"/>
  <c r="S113" i="6"/>
  <c r="T113" i="6" s="1"/>
  <c r="U113" i="6"/>
  <c r="W113" i="6" s="1"/>
  <c r="X87" i="6"/>
  <c r="Q70" i="6"/>
  <c r="O70" i="6"/>
  <c r="S75" i="6"/>
  <c r="T75" i="6" s="1"/>
  <c r="U75" i="6"/>
  <c r="O87" i="6"/>
  <c r="Q87" i="6"/>
  <c r="R87" i="6" s="1"/>
  <c r="S80" i="6"/>
  <c r="T80" i="6" s="1"/>
  <c r="U80" i="6"/>
  <c r="M15" i="2"/>
  <c r="G9" i="2"/>
  <c r="S7" i="6"/>
  <c r="T7" i="6" s="1"/>
  <c r="U7" i="6"/>
  <c r="W7" i="6" s="1"/>
  <c r="S45" i="6"/>
  <c r="T45" i="6" s="1"/>
  <c r="U45" i="6"/>
  <c r="W45" i="6" s="1"/>
  <c r="S35" i="6"/>
  <c r="T35" i="6" s="1"/>
  <c r="U35" i="6"/>
  <c r="W35" i="6" s="1"/>
  <c r="Q92" i="6"/>
  <c r="R92" i="6" s="1"/>
  <c r="O92" i="6"/>
  <c r="S28" i="6"/>
  <c r="T28" i="6" s="1"/>
  <c r="U28" i="6"/>
  <c r="W28" i="6" s="1"/>
  <c r="U61" i="6"/>
  <c r="Q90" i="6"/>
  <c r="R90" i="6" s="1"/>
  <c r="O90" i="6"/>
  <c r="S76" i="6"/>
  <c r="T76" i="6" s="1"/>
  <c r="S19" i="6"/>
  <c r="T19" i="6" s="1"/>
  <c r="U19" i="6"/>
  <c r="S96" i="6"/>
  <c r="T96" i="6" s="1"/>
  <c r="U96" i="6"/>
  <c r="S23" i="6"/>
  <c r="T23" i="6" s="1"/>
  <c r="U23" i="6"/>
  <c r="W23" i="6" s="1"/>
  <c r="O63" i="6"/>
  <c r="Q63" i="6"/>
  <c r="S21" i="6"/>
  <c r="T21" i="6" s="1"/>
  <c r="U21" i="6"/>
  <c r="W21" i="6" s="1"/>
  <c r="O55" i="6"/>
  <c r="Q55" i="6"/>
  <c r="M14" i="2"/>
  <c r="M18" i="2"/>
  <c r="S8" i="6"/>
  <c r="T8" i="6" s="1"/>
  <c r="U8" i="6"/>
  <c r="W8" i="6" s="1"/>
  <c r="S73" i="6"/>
  <c r="T73" i="6" s="1"/>
  <c r="U73" i="6"/>
  <c r="S33" i="6"/>
  <c r="T33" i="6" s="1"/>
  <c r="U33" i="6"/>
  <c r="W33" i="6" s="1"/>
  <c r="S48" i="6"/>
  <c r="T48" i="6" s="1"/>
  <c r="U48" i="6"/>
  <c r="S49" i="6"/>
  <c r="T49" i="6" s="1"/>
  <c r="U49" i="6"/>
  <c r="S67" i="6"/>
  <c r="T67" i="6" s="1"/>
  <c r="U67" i="6"/>
  <c r="W67" i="6" s="1"/>
  <c r="S18" i="6"/>
  <c r="T18" i="6" s="1"/>
  <c r="U18" i="6"/>
  <c r="W18" i="6" s="1"/>
  <c r="S30" i="6"/>
  <c r="T30" i="6" s="1"/>
  <c r="U30" i="6"/>
  <c r="S95" i="6"/>
  <c r="T95" i="6" s="1"/>
  <c r="U95" i="6"/>
  <c r="S106" i="6"/>
  <c r="T106" i="6" s="1"/>
  <c r="U106" i="6"/>
  <c r="W106" i="6" s="1"/>
  <c r="X22" i="6"/>
  <c r="S38" i="6"/>
  <c r="T38" i="6" s="1"/>
  <c r="U38" i="6"/>
  <c r="W38" i="6" s="1"/>
  <c r="O108" i="6"/>
  <c r="Q108" i="6"/>
  <c r="R108" i="6" s="1"/>
  <c r="U115" i="6"/>
  <c r="S14" i="6"/>
  <c r="T14" i="6" s="1"/>
  <c r="U14" i="6"/>
  <c r="S17" i="6"/>
  <c r="T17" i="6" s="1"/>
  <c r="U17" i="6"/>
  <c r="W17" i="6" s="1"/>
  <c r="X77" i="6"/>
  <c r="W9" i="6" l="1"/>
  <c r="S107" i="6"/>
  <c r="T107" i="6" s="1"/>
  <c r="S121" i="6"/>
  <c r="T121" i="6" s="1"/>
  <c r="W47" i="6"/>
  <c r="U3" i="6"/>
  <c r="W14" i="6"/>
  <c r="U69" i="6"/>
  <c r="W69" i="6" s="1"/>
  <c r="S69" i="6"/>
  <c r="T69" i="6" s="1"/>
  <c r="W4" i="6"/>
  <c r="W71" i="6"/>
  <c r="R62" i="6"/>
  <c r="W36" i="6"/>
  <c r="W65" i="6"/>
  <c r="W60" i="6"/>
  <c r="S94" i="6"/>
  <c r="T94" i="6" s="1"/>
  <c r="S101" i="6"/>
  <c r="T101" i="6" s="1"/>
  <c r="X114" i="6"/>
  <c r="R70" i="6"/>
  <c r="S115" i="6"/>
  <c r="T115" i="6" s="1"/>
  <c r="U99" i="6"/>
  <c r="W73" i="6"/>
  <c r="U109" i="6"/>
  <c r="W109" i="6" s="1"/>
  <c r="S52" i="6"/>
  <c r="T52" i="6" s="1"/>
  <c r="U52" i="6"/>
  <c r="X52" i="6" s="1"/>
  <c r="S99" i="6"/>
  <c r="T99" i="6" s="1"/>
  <c r="S109" i="6"/>
  <c r="T109" i="6" s="1"/>
  <c r="R3" i="6"/>
  <c r="U94" i="6"/>
  <c r="W94" i="6" s="1"/>
  <c r="U101" i="6"/>
  <c r="R63" i="6"/>
  <c r="U121" i="6"/>
  <c r="W121" i="6" s="1"/>
  <c r="X10" i="6"/>
  <c r="W44" i="6"/>
  <c r="R20" i="6"/>
  <c r="U68" i="6"/>
  <c r="W68" i="6" s="1"/>
  <c r="R10" i="6"/>
  <c r="W10" i="6" s="1"/>
  <c r="W19" i="6"/>
  <c r="S10" i="6"/>
  <c r="T10" i="6" s="1"/>
  <c r="U107" i="6"/>
  <c r="W107" i="6" s="1"/>
  <c r="W74" i="6"/>
  <c r="W78" i="6"/>
  <c r="R54" i="6"/>
  <c r="W56" i="6"/>
  <c r="W101" i="6"/>
  <c r="W84" i="6"/>
  <c r="R55" i="6"/>
  <c r="W86" i="6"/>
  <c r="W98" i="6"/>
  <c r="W22" i="6"/>
  <c r="W30" i="6"/>
  <c r="W81" i="6"/>
  <c r="W89" i="6"/>
  <c r="W100" i="6"/>
  <c r="W99" i="6"/>
  <c r="W96" i="6"/>
  <c r="W75" i="6"/>
  <c r="R59" i="6"/>
  <c r="R34" i="6"/>
  <c r="R51" i="6"/>
  <c r="W57" i="6"/>
  <c r="R58" i="6"/>
  <c r="U88" i="6"/>
  <c r="X3" i="6"/>
  <c r="W11" i="6"/>
  <c r="S64" i="6"/>
  <c r="T64" i="6" s="1"/>
  <c r="R64" i="6"/>
  <c r="W64" i="6" s="1"/>
  <c r="W115" i="6"/>
  <c r="W48" i="6"/>
  <c r="W80" i="6"/>
  <c r="W119" i="6"/>
  <c r="W83" i="6"/>
  <c r="W53" i="6"/>
  <c r="U76" i="6"/>
  <c r="R76" i="6"/>
  <c r="W61" i="6"/>
  <c r="S27" i="6"/>
  <c r="T27" i="6" s="1"/>
  <c r="R27" i="6"/>
  <c r="W66" i="6"/>
  <c r="W91" i="6"/>
  <c r="W41" i="6"/>
  <c r="S88" i="6"/>
  <c r="T88" i="6" s="1"/>
  <c r="W82" i="6"/>
  <c r="W95" i="6"/>
  <c r="W49" i="6"/>
  <c r="W97" i="6"/>
  <c r="W85" i="6"/>
  <c r="W46" i="6"/>
  <c r="S68" i="6"/>
  <c r="T68" i="6" s="1"/>
  <c r="X37" i="6"/>
  <c r="W37" i="6"/>
  <c r="U27" i="6"/>
  <c r="X64" i="6"/>
  <c r="X56" i="6"/>
  <c r="X41" i="6"/>
  <c r="X29" i="6"/>
  <c r="X13" i="6"/>
  <c r="S58" i="6"/>
  <c r="T58" i="6" s="1"/>
  <c r="U58" i="6"/>
  <c r="X24" i="6"/>
  <c r="S20" i="6"/>
  <c r="T20" i="6" s="1"/>
  <c r="U20" i="6"/>
  <c r="X71" i="6"/>
  <c r="X47" i="6"/>
  <c r="X39" i="6"/>
  <c r="X115" i="6"/>
  <c r="X35" i="6"/>
  <c r="X69" i="6"/>
  <c r="S112" i="6"/>
  <c r="T112" i="6" s="1"/>
  <c r="U112" i="6"/>
  <c r="W112" i="6" s="1"/>
  <c r="S117" i="6"/>
  <c r="T117" i="6" s="1"/>
  <c r="U117" i="6"/>
  <c r="W117" i="6" s="1"/>
  <c r="S79" i="6"/>
  <c r="T79" i="6" s="1"/>
  <c r="U79" i="6"/>
  <c r="S77" i="6"/>
  <c r="T77" i="6" s="1"/>
  <c r="U77" i="6"/>
  <c r="X46" i="6"/>
  <c r="S16" i="6"/>
  <c r="T16" i="6" s="1"/>
  <c r="U16" i="6"/>
  <c r="W16" i="6" s="1"/>
  <c r="S51" i="6"/>
  <c r="T51" i="6" s="1"/>
  <c r="U51" i="6"/>
  <c r="X103" i="6"/>
  <c r="X25" i="6"/>
  <c r="S40" i="6"/>
  <c r="T40" i="6" s="1"/>
  <c r="U40" i="6"/>
  <c r="W40" i="6" s="1"/>
  <c r="X43" i="6"/>
  <c r="S50" i="6"/>
  <c r="T50" i="6" s="1"/>
  <c r="U50" i="6"/>
  <c r="W50" i="6" s="1"/>
  <c r="X28" i="6"/>
  <c r="X66" i="6"/>
  <c r="S62" i="6"/>
  <c r="T62" i="6" s="1"/>
  <c r="U62" i="6"/>
  <c r="S102" i="6"/>
  <c r="T102" i="6" s="1"/>
  <c r="U102" i="6"/>
  <c r="W102" i="6" s="1"/>
  <c r="X30" i="6"/>
  <c r="S54" i="6"/>
  <c r="T54" i="6" s="1"/>
  <c r="U54" i="6"/>
  <c r="S118" i="6"/>
  <c r="T118" i="6" s="1"/>
  <c r="U118" i="6"/>
  <c r="W118" i="6" s="1"/>
  <c r="X32" i="6"/>
  <c r="S108" i="6"/>
  <c r="T108" i="6" s="1"/>
  <c r="U108" i="6"/>
  <c r="W108" i="6" s="1"/>
  <c r="X38" i="6"/>
  <c r="S55" i="6"/>
  <c r="T55" i="6" s="1"/>
  <c r="U55" i="6"/>
  <c r="W55" i="6" s="1"/>
  <c r="X23" i="6"/>
  <c r="X5" i="6"/>
  <c r="X36" i="6"/>
  <c r="X9" i="6"/>
  <c r="S26" i="6"/>
  <c r="T26" i="6" s="1"/>
  <c r="U26" i="6"/>
  <c r="W26" i="6" s="1"/>
  <c r="X57" i="6"/>
  <c r="X65" i="6"/>
  <c r="X44" i="6"/>
  <c r="X19" i="6"/>
  <c r="S87" i="6"/>
  <c r="T87" i="6" s="1"/>
  <c r="U87" i="6"/>
  <c r="X17" i="6"/>
  <c r="X106" i="6"/>
  <c r="X18" i="6"/>
  <c r="X33" i="6"/>
  <c r="X6" i="6"/>
  <c r="X12" i="6"/>
  <c r="X45" i="6"/>
  <c r="S111" i="6"/>
  <c r="T111" i="6" s="1"/>
  <c r="U111" i="6"/>
  <c r="W111" i="6" s="1"/>
  <c r="X14" i="6"/>
  <c r="X67" i="6"/>
  <c r="X119" i="6"/>
  <c r="S90" i="6"/>
  <c r="T90" i="6" s="1"/>
  <c r="U90" i="6"/>
  <c r="X7" i="6"/>
  <c r="S70" i="6"/>
  <c r="T70" i="6" s="1"/>
  <c r="U70" i="6"/>
  <c r="W70" i="6" s="1"/>
  <c r="S59" i="6"/>
  <c r="T59" i="6" s="1"/>
  <c r="U59" i="6"/>
  <c r="S116" i="6"/>
  <c r="T116" i="6" s="1"/>
  <c r="U116" i="6"/>
  <c r="W116" i="6" s="1"/>
  <c r="S42" i="6"/>
  <c r="T42" i="6" s="1"/>
  <c r="U42" i="6"/>
  <c r="W42" i="6" s="1"/>
  <c r="G17" i="2"/>
  <c r="X49" i="6"/>
  <c r="S31" i="6"/>
  <c r="T31" i="6" s="1"/>
  <c r="U31" i="6"/>
  <c r="W31" i="6" s="1"/>
  <c r="X48" i="6"/>
  <c r="S63" i="6"/>
  <c r="T63" i="6" s="1"/>
  <c r="U63" i="6"/>
  <c r="W63" i="6" s="1"/>
  <c r="X113" i="6"/>
  <c r="X73" i="6"/>
  <c r="X21" i="6"/>
  <c r="S92" i="6"/>
  <c r="T92" i="6" s="1"/>
  <c r="U92" i="6"/>
  <c r="S34" i="6"/>
  <c r="T34" i="6" s="1"/>
  <c r="U34" i="6"/>
  <c r="X110" i="6"/>
  <c r="X4" i="6"/>
  <c r="S104" i="6"/>
  <c r="T104" i="6" s="1"/>
  <c r="U104" i="6"/>
  <c r="W104" i="6" s="1"/>
  <c r="X60" i="6"/>
  <c r="X72" i="6"/>
  <c r="X105" i="6"/>
  <c r="X53" i="6"/>
  <c r="X121" i="6"/>
  <c r="X8" i="6"/>
  <c r="X15" i="6"/>
  <c r="J5" i="2"/>
  <c r="X120" i="6"/>
  <c r="X61" i="6"/>
  <c r="A9" i="2" l="1"/>
  <c r="X109" i="6"/>
  <c r="W3" i="6"/>
  <c r="X68" i="6"/>
  <c r="W62" i="6"/>
  <c r="W34" i="6"/>
  <c r="W52" i="6"/>
  <c r="W20" i="6"/>
  <c r="X107" i="6"/>
  <c r="W27" i="6"/>
  <c r="W58" i="6"/>
  <c r="W90" i="6"/>
  <c r="W88" i="6"/>
  <c r="W92" i="6"/>
  <c r="W54" i="6"/>
  <c r="W76" i="6"/>
  <c r="W77" i="6"/>
  <c r="W87" i="6"/>
  <c r="W59" i="6"/>
  <c r="X27" i="6"/>
  <c r="W51" i="6"/>
  <c r="W79" i="6"/>
  <c r="G16" i="2"/>
  <c r="X108" i="6"/>
  <c r="J9" i="2"/>
  <c r="G14" i="2"/>
  <c r="X58" i="6"/>
  <c r="X62" i="6"/>
  <c r="X51" i="6"/>
  <c r="X59" i="6"/>
  <c r="X26" i="6"/>
  <c r="X50" i="6"/>
  <c r="X104" i="6"/>
  <c r="X63" i="6"/>
  <c r="X55" i="6"/>
  <c r="X118" i="6"/>
  <c r="X111" i="6"/>
  <c r="X40" i="6"/>
  <c r="X16" i="6"/>
  <c r="X117" i="6"/>
  <c r="X42" i="6"/>
  <c r="X116" i="6"/>
  <c r="X54" i="6"/>
  <c r="X20" i="6"/>
  <c r="G15" i="2"/>
  <c r="X102" i="6"/>
  <c r="X34" i="6"/>
  <c r="X70" i="6"/>
  <c r="X31" i="6"/>
  <c r="X112" i="6"/>
  <c r="F15" i="2" l="1"/>
  <c r="F17" i="2"/>
  <c r="F16" i="2"/>
  <c r="F14" i="2"/>
  <c r="D9" i="2"/>
</calcChain>
</file>

<file path=xl/sharedStrings.xml><?xml version="1.0" encoding="utf-8"?>
<sst xmlns="http://schemas.openxmlformats.org/spreadsheetml/2006/main" count="3833" uniqueCount="227">
  <si>
    <t>Fashion E-Commerce  ·  Sell-Through &amp; Assortment Model</t>
  </si>
  <si>
    <t>OVERVIEW</t>
  </si>
  <si>
    <t>HEADLINE FINDINGS</t>
  </si>
  <si>
    <t>STRUCTURE</t>
  </si>
  <si>
    <t>METRICS &amp; DECISION RULES</t>
  </si>
  <si>
    <t>DATA NOTE</t>
  </si>
  <si>
    <t>BENCHMARK CALIBRATION</t>
  </si>
  <si>
    <t>Parameter</t>
  </si>
  <si>
    <t>Model</t>
  </si>
  <si>
    <t>Published benchmark</t>
  </si>
  <si>
    <t>Source</t>
  </si>
  <si>
    <t>Overall sell-through</t>
  </si>
  <si>
    <t>77.6%</t>
  </si>
  <si>
    <t>Apparel &amp; fashion: 65–85%</t>
  </si>
  <si>
    <t>Toolio</t>
  </si>
  <si>
    <t>Target sell-through (reorder)</t>
  </si>
  <si>
    <t>80%</t>
  </si>
  <si>
    <t>Benchmark STR at or above 80%; &gt;80% for short-life drops</t>
  </si>
  <si>
    <t>Shopify</t>
  </si>
  <si>
    <t>Markdown sell-through ceiling</t>
  </si>
  <si>
    <t>60%</t>
  </si>
  <si>
    <t>End-of-season STR below 60% triggers markdown escalation</t>
  </si>
  <si>
    <t>Target weeks of cover</t>
  </si>
  <si>
    <t>6</t>
  </si>
  <si>
    <t>Fast fashion runs a lean 4–6 weeks of cover</t>
  </si>
  <si>
    <t>StyleMatrix</t>
  </si>
  <si>
    <t>Reorder cover vs lead time</t>
  </si>
  <si>
    <t>3 vs 2 wks</t>
  </si>
  <si>
    <t>Reorder keyed to whether cover exceeds lead time</t>
  </si>
  <si>
    <t>Reactive SDP</t>
  </si>
  <si>
    <t>Full-price sell-through context</t>
  </si>
  <si>
    <t>—</t>
  </si>
  <si>
    <t>~70% full-price sell-through before first markdown</t>
  </si>
  <si>
    <t>nul.global</t>
  </si>
  <si>
    <t>SOURCES</t>
  </si>
  <si>
    <t>Toolio — Sell-Through Rate: Formula, Benchmarks &amp; Strategies to Improve It.</t>
  </si>
  <si>
    <t xml:space="preserve">   https://www.toolio.com/post/sell-through-rate-how-to-calculate-and-5-strategies-to-optimize</t>
  </si>
  <si>
    <t>Shopify — Sell-Through Rate (STR): How to Calculate &amp; Improve It.</t>
  </si>
  <si>
    <t xml:space="preserve">   https://www.shopify.com/blog/sell-through-rate</t>
  </si>
  <si>
    <t>StyleMatrix — Weeks of Cover: How Much Stock Should You Hold?</t>
  </si>
  <si>
    <t xml:space="preserve">   https://stylematrix.io/weeks-of-cover-retail-how-much-stock-should-you-hold/</t>
  </si>
  <si>
    <t>Reactive SDP — Weeks of Cover: The Metric Every Retail Buyer Should Obsess Over.</t>
  </si>
  <si>
    <t xml:space="preserve">   https://reactivesdp.com/blog/weeks-of-cover-retail-planning.html</t>
  </si>
  <si>
    <t>nul.global — Sell-Through in Fashion: Benchmarks &amp; Optimization.</t>
  </si>
  <si>
    <t xml:space="preserve">   https://nul.global/blog/sell-through-in-fashion</t>
  </si>
  <si>
    <t>TOTAL UNITS SOLD</t>
  </si>
  <si>
    <t>REVENUE (SOLD)</t>
  </si>
  <si>
    <t>OVERALL SELL-THROUGH</t>
  </si>
  <si>
    <t>REORDER UNITS</t>
  </si>
  <si>
    <t>EST. MISSED REVENUE</t>
  </si>
  <si>
    <t>CHANNEL PERFORMANCE</t>
  </si>
  <si>
    <t>CATEGORY PERFORMANCE</t>
  </si>
  <si>
    <t>Channel</t>
  </si>
  <si>
    <t>Units Sold</t>
  </si>
  <si>
    <t>Received</t>
  </si>
  <si>
    <t>Sell-Through</t>
  </si>
  <si>
    <t>Revenue €</t>
  </si>
  <si>
    <t>Reorder Units</t>
  </si>
  <si>
    <t>Missed Rev €</t>
  </si>
  <si>
    <t>Category</t>
  </si>
  <si>
    <t>End Stock</t>
  </si>
  <si>
    <t>Markdown SKUs</t>
  </si>
  <si>
    <t>Own Site</t>
  </si>
  <si>
    <t>Dresses</t>
  </si>
  <si>
    <t>Marketplace Alpha</t>
  </si>
  <si>
    <t>Tops</t>
  </si>
  <si>
    <t>Marketplace Beta</t>
  </si>
  <si>
    <t>Knitwear</t>
  </si>
  <si>
    <t>Marketplace Gamma</t>
  </si>
  <si>
    <t>Trousers</t>
  </si>
  <si>
    <t>Outerwear</t>
  </si>
  <si>
    <t>SKU</t>
  </si>
  <si>
    <t>Style</t>
  </si>
  <si>
    <t>Colour</t>
  </si>
  <si>
    <t>Reorder Qty</t>
  </si>
  <si>
    <t>WEEKLY CUMULATIVE SELL-THROUGH  (chart data)</t>
  </si>
  <si>
    <t>Week</t>
  </si>
  <si>
    <t>Assumptions &amp; Decision Thresholds</t>
  </si>
  <si>
    <t>Edit the yellow cells — the whole model re-decides.</t>
  </si>
  <si>
    <t>Value</t>
  </si>
  <si>
    <t>Notes</t>
  </si>
  <si>
    <t>Target sell-through (reorder trigger)</t>
  </si>
  <si>
    <t>At/above this, demand is proven — replenish.</t>
  </si>
  <si>
    <t>Seasonal style below this + overstocked = clear.</t>
  </si>
  <si>
    <t>Reorder weeks-of-cover threshold</t>
  </si>
  <si>
    <t>Core stock below this many weeks = replenish.</t>
  </si>
  <si>
    <t>Overstock weeks-of-cover threshold</t>
  </si>
  <si>
    <t>Above this + weak sell-through = markdown.</t>
  </si>
  <si>
    <t>Target weeks of cover (reorder sizing)</t>
  </si>
  <si>
    <t>Reorder rebuilds stock to this many weeks.</t>
  </si>
  <si>
    <t>Lead time (weeks)</t>
  </si>
  <si>
    <t>Supplier/marketplace replenishment lead time.</t>
  </si>
  <si>
    <t>Recent window for velocity (weeks)</t>
  </si>
  <si>
    <t>Weeks used to measure current selling speed.</t>
  </si>
  <si>
    <t>Season length (weeks)</t>
  </si>
  <si>
    <t>Length of the selling period in the dataset.</t>
  </si>
  <si>
    <t>StyleID</t>
  </si>
  <si>
    <t>NOOS_Flag</t>
  </si>
  <si>
    <t>List_Price</t>
  </si>
  <si>
    <t>VS-101-BLA</t>
  </si>
  <si>
    <t>Ribbed Jersey Top</t>
  </si>
  <si>
    <t>VS-101</t>
  </si>
  <si>
    <t>Black</t>
  </si>
  <si>
    <t>Core</t>
  </si>
  <si>
    <t>VS-101-WHI</t>
  </si>
  <si>
    <t>White</t>
  </si>
  <si>
    <t>VS-101-SAN</t>
  </si>
  <si>
    <t>Sand</t>
  </si>
  <si>
    <t>VS-102-ECR</t>
  </si>
  <si>
    <t>Fine-Knit Cardigan</t>
  </si>
  <si>
    <t>VS-102</t>
  </si>
  <si>
    <t>Ecru</t>
  </si>
  <si>
    <t>VS-102-NAV</t>
  </si>
  <si>
    <t>Navy</t>
  </si>
  <si>
    <t>VS-102-GRE</t>
  </si>
  <si>
    <t>Grey</t>
  </si>
  <si>
    <t>VS-103-BLA</t>
  </si>
  <si>
    <t>Tailored Cigarette Trouser</t>
  </si>
  <si>
    <t>VS-103</t>
  </si>
  <si>
    <t>VS-103-CAM</t>
  </si>
  <si>
    <t>Camel</t>
  </si>
  <si>
    <t>VS-104-BLA</t>
  </si>
  <si>
    <t>Roll-Neck Jumper</t>
  </si>
  <si>
    <t>VS-104</t>
  </si>
  <si>
    <t>VS-104-CRE</t>
  </si>
  <si>
    <t>Cream</t>
  </si>
  <si>
    <t>VS-104-RUS</t>
  </si>
  <si>
    <t>Rust</t>
  </si>
  <si>
    <t>VS-201-BLU</t>
  </si>
  <si>
    <t>Floral Midi Dress</t>
  </si>
  <si>
    <t>VS-201</t>
  </si>
  <si>
    <t>Blue Floral</t>
  </si>
  <si>
    <t>Seasonal</t>
  </si>
  <si>
    <t>VS-201-PIN</t>
  </si>
  <si>
    <t>Pink Floral</t>
  </si>
  <si>
    <t>VS-202-CHA</t>
  </si>
  <si>
    <t>Satin Slip Dress</t>
  </si>
  <si>
    <t>VS-202</t>
  </si>
  <si>
    <t>Champagne</t>
  </si>
  <si>
    <t>VS-202-EME</t>
  </si>
  <si>
    <t>Emerald</t>
  </si>
  <si>
    <t>VS-202-BLA</t>
  </si>
  <si>
    <t>VS-203-WHI</t>
  </si>
  <si>
    <t>Puff-Sleeve Blouse</t>
  </si>
  <si>
    <t>VS-203</t>
  </si>
  <si>
    <t>VS-203-POW</t>
  </si>
  <si>
    <t>Powder Blue</t>
  </si>
  <si>
    <t>VS-204-WHI</t>
  </si>
  <si>
    <t>Broderie Top</t>
  </si>
  <si>
    <t>VS-204</t>
  </si>
  <si>
    <t>VS-204-LEM</t>
  </si>
  <si>
    <t>Lemon</t>
  </si>
  <si>
    <t>VS-205-CHO</t>
  </si>
  <si>
    <t>Knit Bodycon Dress</t>
  </si>
  <si>
    <t>VS-205</t>
  </si>
  <si>
    <t>Chocolate</t>
  </si>
  <si>
    <t>VS-205-SAG</t>
  </si>
  <si>
    <t>Sage</t>
  </si>
  <si>
    <t>VS-301-BLA</t>
  </si>
  <si>
    <t>Cropped Blazer</t>
  </si>
  <si>
    <t>VS-301</t>
  </si>
  <si>
    <t>VS-301-IVO</t>
  </si>
  <si>
    <t>Ivory</t>
  </si>
  <si>
    <t>VS-301-CHE</t>
  </si>
  <si>
    <t>Check</t>
  </si>
  <si>
    <t>VS-302-ECR</t>
  </si>
  <si>
    <t>Wide-Leg Trouser</t>
  </si>
  <si>
    <t>VS-302</t>
  </si>
  <si>
    <t>VS-302-BLA</t>
  </si>
  <si>
    <t>VS-302-OLI</t>
  </si>
  <si>
    <t>Olive</t>
  </si>
  <si>
    <t>VS-303-STO</t>
  </si>
  <si>
    <t>Belted Trench Coat</t>
  </si>
  <si>
    <t>VS-303</t>
  </si>
  <si>
    <t>Stone</t>
  </si>
  <si>
    <t>VS-303-KHA</t>
  </si>
  <si>
    <t>Khaki</t>
  </si>
  <si>
    <t>Units_Received</t>
  </si>
  <si>
    <t>Units_Sold</t>
  </si>
  <si>
    <t>Opening_Stock</t>
  </si>
  <si>
    <t>Closing_Stock</t>
  </si>
  <si>
    <t>NOOS</t>
  </si>
  <si>
    <t>List Price</t>
  </si>
  <si>
    <t>Units Received</t>
  </si>
  <si>
    <t>Ending Stock</t>
  </si>
  <si>
    <t>Sell-Through %</t>
  </si>
  <si>
    <t>Weeks Selling</t>
  </si>
  <si>
    <t>Velocity</t>
  </si>
  <si>
    <t>Weeks of Cover</t>
  </si>
  <si>
    <t>Stock-out?</t>
  </si>
  <si>
    <t>Reorder?</t>
  </si>
  <si>
    <t>Markdown?</t>
  </si>
  <si>
    <t>Recommended Action</t>
  </si>
  <si>
    <t>Commercial analysis project  - Synthetic Data</t>
  </si>
  <si>
    <t>A commercial-analyst working model that turns weekly sales and stock data into concrete buying actions: what to reorder, what to mark down, and where sales are being lost to stock-outs. Built on sysnthetic data.</t>
  </si>
  <si>
    <t xml:space="preserve"> -Overall sell-through reached 77.6% </t>
  </si>
  <si>
    <t xml:space="preserve"> -An estimated €98k of revenue was lost to stock-outs: 42 SKU/channel combinations sold out before season end, concentrated in seasonal dresses.</t>
  </si>
  <si>
    <t xml:space="preserve"> -28 SKU/channel combinations are markdown candidates (outerwear in particular sits at ~54% sell-through with capital tied up in unsold stock).</t>
  </si>
  <si>
    <t xml:space="preserve"> -The pattern is a buying imbalance: money was over-committed to slow categories and under-committed to the styles customers actually wanted.</t>
  </si>
  <si>
    <t xml:space="preserve"> -Dashboard: headline KPIs, channel and category performance, a sell-through vs weeks-of-cover quadrant, and ranked reorder / markdown / missed-sales lists.</t>
  </si>
  <si>
    <t xml:space="preserve"> -Assumptions : every decision threshold in one place.</t>
  </si>
  <si>
    <t xml:space="preserve"> -Dim_Product : product dimensions</t>
  </si>
  <si>
    <t xml:space="preserve"> -Fact_Weekly : fact table</t>
  </si>
  <si>
    <t xml:space="preserve"> -Sell-through %  =  units sold ÷ units received.</t>
  </si>
  <si>
    <t xml:space="preserve"> -Weeks of cover  =  closing stock ÷ recent weekly sales rate</t>
  </si>
  <si>
    <t xml:space="preserve"> -Stock depth  =  closing units per SKU/channel; width =  number of styles and colours carried.</t>
  </si>
  <si>
    <t xml:space="preserve"> -Replenishment  =  triggered when sell-through beats target, or when a Core (NOOS) style falls below the reorder cover threshold. Suggested quantity rebuilds stock to the target weeks of cover.</t>
  </si>
  <si>
    <t xml:space="preserve"> -Missed sales  =  for styles that sell out early, the planned weekly run-rate (units bought ÷ season length) × weeks out of stock, valued at list price (conservative).</t>
  </si>
  <si>
    <t xml:space="preserve"> -Markdown candidate  =  seasonal style with weak sell-through and cover above the overstock threshold</t>
  </si>
  <si>
    <t>All figures are synthetic. Parameters were generated to be internally consistent, checked against published fashion-retail benchmarks (below). Core knitwear intentionally exceeds benchmark sell-through (94%) in order to model an under-buy and stock-out scenario.</t>
  </si>
  <si>
    <t>Accessed July 2026</t>
  </si>
  <si>
    <t>Recent (last 4 weeks)Sales</t>
  </si>
  <si>
    <t>Avg per Wk (recent)</t>
  </si>
  <si>
    <t>Avg per Wk (live)</t>
  </si>
  <si>
    <t>Missed Units (planned rate)</t>
  </si>
  <si>
    <t>Sell-Through &amp; Assortment Dashboard</t>
  </si>
  <si>
    <t>STOCK-OUTS (SKU x CHANNEL)</t>
  </si>
  <si>
    <t>SKUs x CHANNEL TO REORDER</t>
  </si>
  <si>
    <t>MARKDOWN CANDIDATES (x CHANNEL)</t>
  </si>
  <si>
    <t>(All)</t>
  </si>
  <si>
    <t>Grand Total</t>
  </si>
  <si>
    <t>Sum of Ending Stock</t>
  </si>
  <si>
    <t>Sum of Reorder Qty</t>
  </si>
  <si>
    <t>Average of Sell-Through %</t>
  </si>
  <si>
    <t>Average of Weeks of Cover</t>
  </si>
  <si>
    <t xml:space="preserve"> -Actions: pivot table with slicer based on different suggested action in analysis</t>
  </si>
  <si>
    <t xml:space="preserve"> -Analysis: one row per SKU × Channel leading to a suggestion for each combination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</si>
</sst>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0.0"/>
    <numFmt numFmtId="167" formatCode="\€#,##0.00"/>
  </numFmts>
  <fonts count="22" x14ac:knownFonts="1">
    <font>
      <sz val="11"/>
      <color theme="1"/>
      <name val="Calibri"/>
      <family val="2"/>
      <charset val="1"/>
    </font>
    <font>
      <b/>
      <sz val="18"/>
      <color rgb="FF6B1F4E"/>
      <name val="Arial"/>
      <charset val="1"/>
    </font>
    <font>
      <i/>
      <sz val="11"/>
      <color rgb="FF6B7280"/>
      <name val="Arial"/>
      <charset val="1"/>
    </font>
    <font>
      <b/>
      <sz val="12"/>
      <color rgb="FF6B1F4E"/>
      <name val="Arial"/>
      <charset val="1"/>
    </font>
    <font>
      <sz val="10"/>
      <color rgb="FF1F2A37"/>
      <name val="Arial"/>
      <charset val="1"/>
    </font>
    <font>
      <b/>
      <sz val="9"/>
      <color rgb="FFFFFFFF"/>
      <name val="Arial"/>
      <charset val="1"/>
    </font>
    <font>
      <sz val="9"/>
      <color rgb="FF1F2A37"/>
      <name val="Arial"/>
      <charset val="1"/>
    </font>
    <font>
      <sz val="9"/>
      <color rgb="FF6B1F4E"/>
      <name val="Arial"/>
      <charset val="1"/>
    </font>
    <font>
      <i/>
      <sz val="9"/>
      <color rgb="FF6B7280"/>
      <name val="Arial"/>
      <charset val="1"/>
    </font>
    <font>
      <b/>
      <sz val="17"/>
      <color rgb="FF6B1F4E"/>
      <name val="Arial"/>
      <charset val="1"/>
    </font>
    <font>
      <b/>
      <sz val="8"/>
      <color rgb="FFFFFFFF"/>
      <name val="Arial"/>
      <charset val="1"/>
    </font>
    <font>
      <b/>
      <sz val="19"/>
      <color rgb="FF1F2A37"/>
      <name val="Arial"/>
      <charset val="1"/>
    </font>
    <font>
      <b/>
      <sz val="11"/>
      <color rgb="FF6B1F4E"/>
      <name val="Arial"/>
      <charset val="1"/>
    </font>
    <font>
      <b/>
      <sz val="9"/>
      <color rgb="FF1F2A37"/>
      <name val="Arial"/>
      <charset val="1"/>
    </font>
    <font>
      <b/>
      <sz val="9"/>
      <color rgb="FF6B7280"/>
      <name val="Arial"/>
      <charset val="1"/>
    </font>
    <font>
      <b/>
      <sz val="15"/>
      <color rgb="FF6B1F4E"/>
      <name val="Arial"/>
      <charset val="1"/>
    </font>
    <font>
      <i/>
      <sz val="10"/>
      <color rgb="FF6B7280"/>
      <name val="Arial"/>
      <charset val="1"/>
    </font>
    <font>
      <b/>
      <sz val="10"/>
      <color rgb="FFFFFFFF"/>
      <name val="Arial"/>
      <charset val="1"/>
    </font>
    <font>
      <b/>
      <sz val="10"/>
      <color rgb="FF0000FF"/>
      <name val="Arial"/>
      <charset val="1"/>
    </font>
    <font>
      <sz val="9"/>
      <color rgb="FF6B7280"/>
      <name val="Arial"/>
      <charset val="1"/>
    </font>
    <font>
      <sz val="9"/>
      <color rgb="FF0000FF"/>
      <name val="Arial"/>
      <charset val="1"/>
    </font>
    <font>
      <sz val="9"/>
      <color rgb="FF008000"/>
      <name val="Arial"/>
      <charset val="1"/>
    </font>
  </fonts>
  <fills count="6">
    <fill>
      <patternFill patternType="none"/>
    </fill>
    <fill>
      <patternFill patternType="gray125"/>
    </fill>
    <fill>
      <patternFill patternType="solid">
        <fgColor rgb="FF1F2A37"/>
        <bgColor rgb="FF333300"/>
      </patternFill>
    </fill>
    <fill>
      <patternFill patternType="solid">
        <fgColor rgb="FF6B1F4E"/>
        <bgColor rgb="FF800080"/>
      </patternFill>
    </fill>
    <fill>
      <patternFill patternType="solid">
        <fgColor rgb="FFF4EEF1"/>
        <bgColor rgb="FFFFFDE7"/>
      </patternFill>
    </fill>
    <fill>
      <patternFill patternType="solid">
        <fgColor rgb="FFFFFDE7"/>
        <bgColor rgb="FFFFFFFF"/>
      </patternFill>
    </fill>
  </fills>
  <borders count="10">
    <border>
      <left/>
      <right/>
      <top/>
      <bottom/>
      <diagonal/>
    </border>
    <border>
      <left style="thin">
        <color rgb="FFD8CDD4"/>
      </left>
      <right style="thin">
        <color rgb="FFD8CDD4"/>
      </right>
      <top style="thin">
        <color rgb="FFD8CDD4"/>
      </top>
      <bottom style="thin">
        <color rgb="FFD8CDD4"/>
      </bottom>
      <diagonal/>
    </border>
    <border>
      <left/>
      <right style="thin">
        <color rgb="FFD8CDD4"/>
      </right>
      <top style="thin">
        <color rgb="FFD8CDD4"/>
      </top>
      <bottom style="thin">
        <color rgb="FFD8CDD4"/>
      </bottom>
      <diagonal/>
    </border>
    <border>
      <left style="thin">
        <color rgb="FFD8CDD4"/>
      </left>
      <right/>
      <top style="thin">
        <color rgb="FFD8CDD4"/>
      </top>
      <bottom style="thin">
        <color rgb="FFD8CDD4"/>
      </bottom>
      <diagonal/>
    </border>
    <border>
      <left/>
      <right style="thin">
        <color rgb="FFD8CDD4"/>
      </right>
      <top/>
      <bottom style="thin">
        <color rgb="FFD8CDD4"/>
      </bottom>
      <diagonal/>
    </border>
    <border>
      <left style="thin">
        <color rgb="FFD8CDD4"/>
      </left>
      <right style="thin">
        <color rgb="FFD8CDD4"/>
      </right>
      <top/>
      <bottom style="thin">
        <color rgb="FFD8CDD4"/>
      </bottom>
      <diagonal/>
    </border>
    <border>
      <left style="thin">
        <color rgb="FFD8CDD4"/>
      </left>
      <right/>
      <top/>
      <bottom style="thin">
        <color rgb="FFD8CDD4"/>
      </bottom>
      <diagonal/>
    </border>
    <border>
      <left/>
      <right style="thin">
        <color rgb="FFD8CDD4"/>
      </right>
      <top style="thin">
        <color rgb="FFD8CDD4"/>
      </top>
      <bottom/>
      <diagonal/>
    </border>
    <border>
      <left style="thin">
        <color rgb="FFD8CDD4"/>
      </left>
      <right style="thin">
        <color rgb="FFD8CDD4"/>
      </right>
      <top style="thin">
        <color rgb="FFD8CDD4"/>
      </top>
      <bottom/>
      <diagonal/>
    </border>
    <border>
      <left style="thin">
        <color rgb="FFD8CDD4"/>
      </left>
      <right/>
      <top style="thin">
        <color rgb="FFD8CDD4"/>
      </top>
      <bottom/>
      <diagonal/>
    </border>
  </borders>
  <cellStyleXfs count="1">
    <xf numFmtId="0" fontId="0" fillId="0" borderId="0"/>
  </cellStyleXfs>
  <cellXfs count="62">
    <xf numFmtId="0" fontId="0" fillId="0" borderId="0" xfId="0"/>
    <xf numFmtId="165" fontId="11" fillId="4" borderId="1" xfId="0" applyNumberFormat="1" applyFont="1" applyFill="1" applyBorder="1" applyAlignment="1">
      <alignment horizontal="center" vertical="center"/>
    </xf>
    <xf numFmtId="164" fontId="11" fillId="4" borderId="1" xfId="0" applyNumberFormat="1" applyFont="1" applyFill="1" applyBorder="1" applyAlignment="1">
      <alignment horizontal="center" vertical="center"/>
    </xf>
    <xf numFmtId="3" fontId="11" fillId="4" borderId="1" xfId="0" applyNumberFormat="1" applyFont="1" applyFill="1" applyBorder="1" applyAlignment="1">
      <alignment horizontal="center" vertical="center"/>
    </xf>
    <xf numFmtId="0" fontId="10" fillId="3" borderId="1" xfId="0" applyFont="1" applyFill="1" applyBorder="1" applyAlignment="1">
      <alignment horizontal="center" vertical="center" wrapText="1"/>
    </xf>
    <xf numFmtId="0" fontId="8" fillId="0" borderId="0" xfId="0" applyFont="1"/>
    <xf numFmtId="0" fontId="9" fillId="0" borderId="0" xfId="0" applyFont="1" applyAlignment="1">
      <alignment horizontal="left" vertical="center"/>
    </xf>
    <xf numFmtId="0" fontId="1" fillId="0" borderId="0" xfId="0" applyFont="1"/>
    <xf numFmtId="0" fontId="2"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5" fillId="2"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12" fillId="0" borderId="0" xfId="0" applyFont="1"/>
    <xf numFmtId="0" fontId="13" fillId="0" borderId="1" xfId="0" applyFont="1" applyBorder="1" applyAlignment="1">
      <alignment horizontal="left" vertical="center"/>
    </xf>
    <xf numFmtId="3" fontId="6" fillId="0" borderId="1" xfId="0" applyNumberFormat="1" applyFont="1" applyBorder="1" applyAlignment="1">
      <alignment horizontal="center" vertical="center"/>
    </xf>
    <xf numFmtId="165" fontId="6" fillId="0" borderId="1" xfId="0" applyNumberFormat="1" applyFont="1" applyBorder="1" applyAlignment="1">
      <alignment horizontal="center" vertical="center"/>
    </xf>
    <xf numFmtId="164"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14" fillId="0" borderId="0" xfId="0" applyFont="1"/>
    <xf numFmtId="0" fontId="5" fillId="2" borderId="1" xfId="0" applyFont="1" applyFill="1" applyBorder="1" applyAlignment="1">
      <alignment horizontal="center" vertical="center"/>
    </xf>
    <xf numFmtId="0" fontId="15" fillId="0" borderId="0" xfId="0" applyFont="1"/>
    <xf numFmtId="0" fontId="16" fillId="0" borderId="0" xfId="0" applyFont="1"/>
    <xf numFmtId="0" fontId="17" fillId="2" borderId="1" xfId="0" applyFont="1" applyFill="1" applyBorder="1" applyAlignment="1">
      <alignment horizontal="left" vertical="center"/>
    </xf>
    <xf numFmtId="0" fontId="4" fillId="0" borderId="1" xfId="0" applyFont="1" applyBorder="1"/>
    <xf numFmtId="165" fontId="18" fillId="5" borderId="1" xfId="0" applyNumberFormat="1" applyFont="1" applyFill="1" applyBorder="1" applyAlignment="1">
      <alignment horizontal="center" vertical="center"/>
    </xf>
    <xf numFmtId="0" fontId="19" fillId="0" borderId="1" xfId="0" applyFont="1" applyBorder="1" applyAlignment="1">
      <alignment horizontal="left" vertical="center" wrapText="1"/>
    </xf>
    <xf numFmtId="166" fontId="18" fillId="5" borderId="1" xfId="0" applyNumberFormat="1" applyFont="1" applyFill="1" applyBorder="1" applyAlignment="1">
      <alignment horizontal="center" vertical="center"/>
    </xf>
    <xf numFmtId="3" fontId="18" fillId="5" borderId="1" xfId="0" applyNumberFormat="1" applyFont="1" applyFill="1" applyBorder="1" applyAlignment="1">
      <alignment horizontal="center" vertical="center"/>
    </xf>
    <xf numFmtId="0" fontId="17" fillId="2" borderId="1" xfId="0" applyFont="1" applyFill="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167" fontId="4" fillId="0" borderId="1" xfId="0" applyNumberFormat="1" applyFont="1" applyBorder="1" applyAlignment="1">
      <alignment horizontal="center" vertical="center"/>
    </xf>
    <xf numFmtId="0" fontId="17" fillId="2" borderId="1" xfId="0" applyFont="1" applyFill="1" applyBorder="1" applyAlignment="1">
      <alignment horizontal="center" vertical="center" wrapText="1"/>
    </xf>
    <xf numFmtId="0" fontId="6" fillId="0" borderId="1" xfId="0" applyFont="1" applyBorder="1"/>
    <xf numFmtId="3" fontId="20" fillId="0" borderId="1" xfId="0" applyNumberFormat="1" applyFont="1" applyBorder="1" applyAlignment="1">
      <alignment horizontal="center" vertical="center"/>
    </xf>
    <xf numFmtId="0" fontId="21" fillId="0" borderId="1" xfId="0" applyFont="1" applyBorder="1" applyAlignment="1">
      <alignment horizontal="left" vertical="center"/>
    </xf>
    <xf numFmtId="167" fontId="21" fillId="0" borderId="1" xfId="0" applyNumberFormat="1" applyFont="1" applyBorder="1" applyAlignment="1">
      <alignment horizontal="center" vertical="center"/>
    </xf>
    <xf numFmtId="166" fontId="6" fillId="0" borderId="1" xfId="0" applyNumberFormat="1" applyFont="1" applyBorder="1" applyAlignment="1">
      <alignment horizontal="center" vertical="center"/>
    </xf>
    <xf numFmtId="0" fontId="6" fillId="0" borderId="2" xfId="0" applyFont="1" applyBorder="1" applyAlignment="1">
      <alignment horizontal="left" vertical="center"/>
    </xf>
    <xf numFmtId="0" fontId="13" fillId="0" borderId="3" xfId="0" applyFont="1" applyBorder="1" applyAlignment="1">
      <alignment horizontal="left" vertical="center"/>
    </xf>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21" fillId="0" borderId="8" xfId="0" applyFont="1" applyBorder="1" applyAlignment="1">
      <alignment horizontal="left" vertical="center"/>
    </xf>
    <xf numFmtId="167" fontId="21" fillId="0" borderId="8" xfId="0" applyNumberFormat="1" applyFont="1" applyBorder="1" applyAlignment="1">
      <alignment horizontal="center" vertical="center"/>
    </xf>
    <xf numFmtId="3" fontId="6" fillId="0" borderId="8" xfId="0" applyNumberFormat="1" applyFont="1" applyBorder="1" applyAlignment="1">
      <alignment horizontal="center" vertical="center"/>
    </xf>
    <xf numFmtId="165" fontId="6" fillId="0" borderId="8" xfId="0" applyNumberFormat="1" applyFont="1" applyBorder="1" applyAlignment="1">
      <alignment horizontal="center" vertical="center"/>
    </xf>
    <xf numFmtId="166" fontId="6" fillId="0" borderId="8" xfId="0" applyNumberFormat="1" applyFont="1" applyBorder="1" applyAlignment="1">
      <alignment horizontal="center" vertical="center"/>
    </xf>
    <xf numFmtId="0" fontId="6" fillId="0" borderId="8" xfId="0" applyFont="1" applyBorder="1" applyAlignment="1">
      <alignment horizontal="center" vertical="center"/>
    </xf>
    <xf numFmtId="164" fontId="6" fillId="0" borderId="8" xfId="0" applyNumberFormat="1" applyFont="1" applyBorder="1" applyAlignment="1">
      <alignment horizontal="center" vertical="center"/>
    </xf>
    <xf numFmtId="0" fontId="13" fillId="0" borderId="9" xfId="0" applyFont="1" applyBorder="1" applyAlignment="1">
      <alignment horizontal="left" vertical="center"/>
    </xf>
    <xf numFmtId="0" fontId="0" fillId="0" borderId="0" xfId="0" pivotButton="1"/>
    <xf numFmtId="165" fontId="0" fillId="0" borderId="0" xfId="0" applyNumberFormat="1"/>
    <xf numFmtId="166" fontId="0" fillId="0" borderId="0" xfId="0" applyNumberFormat="1"/>
    <xf numFmtId="3" fontId="0" fillId="0" borderId="0" xfId="0" applyNumberFormat="1"/>
  </cellXfs>
  <cellStyles count="1">
    <cellStyle name="Normal" xfId="0" builtinId="0"/>
  </cellStyles>
  <dxfs count="28">
    <dxf>
      <font>
        <b/>
        <i val="0"/>
        <strike val="0"/>
        <condense val="0"/>
        <extend val="0"/>
        <outline val="0"/>
        <shadow val="0"/>
        <u val="none"/>
        <vertAlign val="baseline"/>
        <sz val="9"/>
        <color rgb="FFFFFFFF"/>
        <name val="Arial"/>
        <charset val="1"/>
        <scheme val="none"/>
      </font>
      <fill>
        <patternFill patternType="solid">
          <fgColor rgb="FF800080"/>
          <bgColor rgb="FF6B1F4E"/>
        </patternFill>
      </fill>
      <alignment horizontal="center" vertical="center" textRotation="0" wrapText="1" indent="0" justifyLastLine="0" shrinkToFit="0" readingOrder="0"/>
      <border diagonalUp="0" diagonalDown="0" outline="0">
        <left style="thin">
          <color rgb="FFD8CDD4"/>
        </left>
        <right style="thin">
          <color rgb="FFD8CDD4"/>
        </right>
        <top/>
        <bottom/>
      </border>
    </dxf>
    <dxf>
      <font>
        <b/>
        <i val="0"/>
        <strike val="0"/>
        <condense val="0"/>
        <extend val="0"/>
        <outline val="0"/>
        <shadow val="0"/>
        <u val="none"/>
        <vertAlign val="baseline"/>
        <sz val="9"/>
        <color rgb="FF1F2A37"/>
        <name val="Arial"/>
        <charset val="1"/>
        <scheme val="none"/>
      </font>
      <alignment horizontal="left" vertical="center" textRotation="0" wrapText="0" indent="0" justifyLastLine="0" shrinkToFit="0" readingOrder="0"/>
      <border diagonalUp="0" diagonalDown="0">
        <left style="thin">
          <color rgb="FFD8CDD4"/>
        </left>
        <right/>
        <top style="thin">
          <color rgb="FFD8CDD4"/>
        </top>
        <bottom style="thin">
          <color rgb="FFD8CDD4"/>
        </bottom>
        <vertical/>
        <horizontal/>
      </border>
    </dxf>
    <dxf>
      <font>
        <b val="0"/>
        <i val="0"/>
        <strike val="0"/>
        <condense val="0"/>
        <extend val="0"/>
        <outline val="0"/>
        <shadow val="0"/>
        <u val="none"/>
        <vertAlign val="baseline"/>
        <sz val="9"/>
        <color rgb="FF1F2A37"/>
        <name val="Arial"/>
        <charset val="1"/>
        <scheme val="none"/>
      </font>
      <numFmt numFmtId="3" formatCode="#,##0"/>
      <alignment horizontal="center" vertical="center" textRotation="0" wrapText="0" indent="0" justifyLastLine="0" shrinkToFit="0" readingOrder="0"/>
      <border diagonalUp="0" diagonalDown="0">
        <left style="thin">
          <color rgb="FFD8CDD4"/>
        </left>
        <right style="thin">
          <color rgb="FFD8CDD4"/>
        </right>
        <top style="thin">
          <color rgb="FFD8CDD4"/>
        </top>
        <bottom style="thin">
          <color rgb="FFD8CDD4"/>
        </bottom>
        <vertical/>
        <horizontal/>
      </border>
    </dxf>
    <dxf>
      <font>
        <b val="0"/>
        <i val="0"/>
        <strike val="0"/>
        <condense val="0"/>
        <extend val="0"/>
        <outline val="0"/>
        <shadow val="0"/>
        <u val="none"/>
        <vertAlign val="baseline"/>
        <sz val="9"/>
        <color rgb="FF1F2A37"/>
        <name val="Arial"/>
        <charset val="1"/>
        <scheme val="none"/>
      </font>
      <alignment horizontal="center" vertical="center" textRotation="0" wrapText="0" indent="0" justifyLastLine="0" shrinkToFit="0" readingOrder="0"/>
      <border diagonalUp="0" diagonalDown="0">
        <left style="thin">
          <color rgb="FFD8CDD4"/>
        </left>
        <right style="thin">
          <color rgb="FFD8CDD4"/>
        </right>
        <top style="thin">
          <color rgb="FFD8CDD4"/>
        </top>
        <bottom style="thin">
          <color rgb="FFD8CDD4"/>
        </bottom>
        <vertical/>
        <horizontal/>
      </border>
    </dxf>
    <dxf>
      <font>
        <b val="0"/>
        <i val="0"/>
        <strike val="0"/>
        <condense val="0"/>
        <extend val="0"/>
        <outline val="0"/>
        <shadow val="0"/>
        <u val="none"/>
        <vertAlign val="baseline"/>
        <sz val="9"/>
        <color rgb="FF1F2A37"/>
        <name val="Arial"/>
        <charset val="1"/>
        <scheme val="none"/>
      </font>
      <alignment horizontal="center" vertical="center" textRotation="0" wrapText="0" indent="0" justifyLastLine="0" shrinkToFit="0" readingOrder="0"/>
      <border diagonalUp="0" diagonalDown="0">
        <left style="thin">
          <color rgb="FFD8CDD4"/>
        </left>
        <right style="thin">
          <color rgb="FFD8CDD4"/>
        </right>
        <top style="thin">
          <color rgb="FFD8CDD4"/>
        </top>
        <bottom style="thin">
          <color rgb="FFD8CDD4"/>
        </bottom>
        <vertical/>
        <horizontal/>
      </border>
    </dxf>
    <dxf>
      <font>
        <b val="0"/>
        <i val="0"/>
        <strike val="0"/>
        <condense val="0"/>
        <extend val="0"/>
        <outline val="0"/>
        <shadow val="0"/>
        <u val="none"/>
        <vertAlign val="baseline"/>
        <sz val="9"/>
        <color rgb="FF1F2A37"/>
        <name val="Arial"/>
        <charset val="1"/>
        <scheme val="none"/>
      </font>
      <numFmt numFmtId="164" formatCode="\€#,##0"/>
      <alignment horizontal="center" vertical="center" textRotation="0" wrapText="0" indent="0" justifyLastLine="0" shrinkToFit="0" readingOrder="0"/>
      <border diagonalUp="0" diagonalDown="0">
        <left style="thin">
          <color rgb="FFD8CDD4"/>
        </left>
        <right style="thin">
          <color rgb="FFD8CDD4"/>
        </right>
        <top style="thin">
          <color rgb="FFD8CDD4"/>
        </top>
        <bottom style="thin">
          <color rgb="FFD8CDD4"/>
        </bottom>
        <vertical/>
        <horizontal/>
      </border>
    </dxf>
    <dxf>
      <font>
        <b val="0"/>
        <i val="0"/>
        <strike val="0"/>
        <condense val="0"/>
        <extend val="0"/>
        <outline val="0"/>
        <shadow val="0"/>
        <u val="none"/>
        <vertAlign val="baseline"/>
        <sz val="9"/>
        <color rgb="FF1F2A37"/>
        <name val="Arial"/>
        <charset val="1"/>
        <scheme val="none"/>
      </font>
      <numFmt numFmtId="166" formatCode="0.0"/>
      <alignment horizontal="center" vertical="center" textRotation="0" wrapText="0" indent="0" justifyLastLine="0" shrinkToFit="0" readingOrder="0"/>
      <border diagonalUp="0" diagonalDown="0">
        <left style="thin">
          <color rgb="FFD8CDD4"/>
        </left>
        <right style="thin">
          <color rgb="FFD8CDD4"/>
        </right>
        <top style="thin">
          <color rgb="FFD8CDD4"/>
        </top>
        <bottom style="thin">
          <color rgb="FFD8CDD4"/>
        </bottom>
        <vertical/>
        <horizontal/>
      </border>
    </dxf>
    <dxf>
      <font>
        <b val="0"/>
        <i val="0"/>
        <strike val="0"/>
        <condense val="0"/>
        <extend val="0"/>
        <outline val="0"/>
        <shadow val="0"/>
        <u val="none"/>
        <vertAlign val="baseline"/>
        <sz val="9"/>
        <color rgb="FF1F2A37"/>
        <name val="Arial"/>
        <charset val="1"/>
        <scheme val="none"/>
      </font>
      <numFmt numFmtId="166" formatCode="0.0"/>
      <alignment horizontal="center" vertical="center" textRotation="0" wrapText="0" indent="0" justifyLastLine="0" shrinkToFit="0" readingOrder="0"/>
      <border diagonalUp="0" diagonalDown="0">
        <left style="thin">
          <color rgb="FFD8CDD4"/>
        </left>
        <right style="thin">
          <color rgb="FFD8CDD4"/>
        </right>
        <top style="thin">
          <color rgb="FFD8CDD4"/>
        </top>
        <bottom style="thin">
          <color rgb="FFD8CDD4"/>
        </bottom>
        <vertical/>
        <horizontal/>
      </border>
    </dxf>
    <dxf>
      <font>
        <b val="0"/>
        <i val="0"/>
        <strike val="0"/>
        <condense val="0"/>
        <extend val="0"/>
        <outline val="0"/>
        <shadow val="0"/>
        <u val="none"/>
        <vertAlign val="baseline"/>
        <sz val="9"/>
        <color rgb="FF1F2A37"/>
        <name val="Arial"/>
        <charset val="1"/>
        <scheme val="none"/>
      </font>
      <alignment horizontal="center" vertical="center" textRotation="0" wrapText="0" indent="0" justifyLastLine="0" shrinkToFit="0" readingOrder="0"/>
      <border diagonalUp="0" diagonalDown="0">
        <left style="thin">
          <color rgb="FFD8CDD4"/>
        </left>
        <right style="thin">
          <color rgb="FFD8CDD4"/>
        </right>
        <top style="thin">
          <color rgb="FFD8CDD4"/>
        </top>
        <bottom style="thin">
          <color rgb="FFD8CDD4"/>
        </bottom>
        <vertical/>
        <horizontal/>
      </border>
    </dxf>
    <dxf>
      <font>
        <b val="0"/>
        <i val="0"/>
        <strike val="0"/>
        <condense val="0"/>
        <extend val="0"/>
        <outline val="0"/>
        <shadow val="0"/>
        <u val="none"/>
        <vertAlign val="baseline"/>
        <sz val="9"/>
        <color rgb="FF1F2A37"/>
        <name val="Arial"/>
        <charset val="1"/>
        <scheme val="none"/>
      </font>
      <numFmt numFmtId="166" formatCode="0.0"/>
      <alignment horizontal="center" vertical="center" textRotation="0" wrapText="0" indent="0" justifyLastLine="0" shrinkToFit="0" readingOrder="0"/>
      <border diagonalUp="0" diagonalDown="0">
        <left style="thin">
          <color rgb="FFD8CDD4"/>
        </left>
        <right style="thin">
          <color rgb="FFD8CDD4"/>
        </right>
        <top style="thin">
          <color rgb="FFD8CDD4"/>
        </top>
        <bottom style="thin">
          <color rgb="FFD8CDD4"/>
        </bottom>
        <vertical/>
        <horizontal/>
      </border>
    </dxf>
    <dxf>
      <font>
        <b val="0"/>
        <i val="0"/>
        <strike val="0"/>
        <condense val="0"/>
        <extend val="0"/>
        <outline val="0"/>
        <shadow val="0"/>
        <u val="none"/>
        <vertAlign val="baseline"/>
        <sz val="9"/>
        <color rgb="FF1F2A37"/>
        <name val="Arial"/>
        <charset val="1"/>
        <scheme val="none"/>
      </font>
      <numFmt numFmtId="166" formatCode="0.0"/>
      <alignment horizontal="center" vertical="center" textRotation="0" wrapText="0" indent="0" justifyLastLine="0" shrinkToFit="0" readingOrder="0"/>
      <border diagonalUp="0" diagonalDown="0">
        <left style="thin">
          <color rgb="FFD8CDD4"/>
        </left>
        <right style="thin">
          <color rgb="FFD8CDD4"/>
        </right>
        <top style="thin">
          <color rgb="FFD8CDD4"/>
        </top>
        <bottom style="thin">
          <color rgb="FFD8CDD4"/>
        </bottom>
        <vertical/>
        <horizontal/>
      </border>
    </dxf>
    <dxf>
      <font>
        <b val="0"/>
        <i val="0"/>
        <strike val="0"/>
        <condense val="0"/>
        <extend val="0"/>
        <outline val="0"/>
        <shadow val="0"/>
        <u val="none"/>
        <vertAlign val="baseline"/>
        <sz val="9"/>
        <color rgb="FF1F2A37"/>
        <name val="Arial"/>
        <charset val="1"/>
        <scheme val="none"/>
      </font>
      <numFmt numFmtId="3" formatCode="#,##0"/>
      <alignment horizontal="center" vertical="center" textRotation="0" wrapText="0" indent="0" justifyLastLine="0" shrinkToFit="0" readingOrder="0"/>
      <border diagonalUp="0" diagonalDown="0">
        <left style="thin">
          <color rgb="FFD8CDD4"/>
        </left>
        <right style="thin">
          <color rgb="FFD8CDD4"/>
        </right>
        <top style="thin">
          <color rgb="FFD8CDD4"/>
        </top>
        <bottom style="thin">
          <color rgb="FFD8CDD4"/>
        </bottom>
        <vertical/>
        <horizontal/>
      </border>
    </dxf>
    <dxf>
      <font>
        <b val="0"/>
        <i val="0"/>
        <strike val="0"/>
        <condense val="0"/>
        <extend val="0"/>
        <outline val="0"/>
        <shadow val="0"/>
        <u val="none"/>
        <vertAlign val="baseline"/>
        <sz val="9"/>
        <color rgb="FF1F2A37"/>
        <name val="Arial"/>
        <charset val="1"/>
        <scheme val="none"/>
      </font>
      <numFmt numFmtId="166" formatCode="0.0"/>
      <alignment horizontal="center" vertical="center" textRotation="0" wrapText="0" indent="0" justifyLastLine="0" shrinkToFit="0" readingOrder="0"/>
      <border diagonalUp="0" diagonalDown="0">
        <left style="thin">
          <color rgb="FFD8CDD4"/>
        </left>
        <right style="thin">
          <color rgb="FFD8CDD4"/>
        </right>
        <top style="thin">
          <color rgb="FFD8CDD4"/>
        </top>
        <bottom style="thin">
          <color rgb="FFD8CDD4"/>
        </bottom>
        <vertical/>
        <horizontal/>
      </border>
    </dxf>
    <dxf>
      <font>
        <b val="0"/>
        <i val="0"/>
        <strike val="0"/>
        <condense val="0"/>
        <extend val="0"/>
        <outline val="0"/>
        <shadow val="0"/>
        <u val="none"/>
        <vertAlign val="baseline"/>
        <sz val="9"/>
        <color rgb="FF1F2A37"/>
        <name val="Arial"/>
        <charset val="1"/>
        <scheme val="none"/>
      </font>
      <numFmt numFmtId="3" formatCode="#,##0"/>
      <alignment horizontal="center" vertical="center" textRotation="0" wrapText="0" indent="0" justifyLastLine="0" shrinkToFit="0" readingOrder="0"/>
      <border diagonalUp="0" diagonalDown="0">
        <left style="thin">
          <color rgb="FFD8CDD4"/>
        </left>
        <right style="thin">
          <color rgb="FFD8CDD4"/>
        </right>
        <top style="thin">
          <color rgb="FFD8CDD4"/>
        </top>
        <bottom style="thin">
          <color rgb="FFD8CDD4"/>
        </bottom>
        <vertical/>
        <horizontal/>
      </border>
    </dxf>
    <dxf>
      <font>
        <b val="0"/>
        <i val="0"/>
        <strike val="0"/>
        <condense val="0"/>
        <extend val="0"/>
        <outline val="0"/>
        <shadow val="0"/>
        <u val="none"/>
        <vertAlign val="baseline"/>
        <sz val="9"/>
        <color rgb="FF1F2A37"/>
        <name val="Arial"/>
        <charset val="1"/>
        <scheme val="none"/>
      </font>
      <numFmt numFmtId="165" formatCode="0.0%"/>
      <alignment horizontal="center" vertical="center" textRotation="0" wrapText="0" indent="0" justifyLastLine="0" shrinkToFit="0" readingOrder="0"/>
      <border diagonalUp="0" diagonalDown="0">
        <left style="thin">
          <color rgb="FFD8CDD4"/>
        </left>
        <right style="thin">
          <color rgb="FFD8CDD4"/>
        </right>
        <top style="thin">
          <color rgb="FFD8CDD4"/>
        </top>
        <bottom style="thin">
          <color rgb="FFD8CDD4"/>
        </bottom>
        <vertical/>
        <horizontal/>
      </border>
    </dxf>
    <dxf>
      <font>
        <b val="0"/>
        <i val="0"/>
        <strike val="0"/>
        <condense val="0"/>
        <extend val="0"/>
        <outline val="0"/>
        <shadow val="0"/>
        <u val="none"/>
        <vertAlign val="baseline"/>
        <sz val="9"/>
        <color rgb="FF1F2A37"/>
        <name val="Arial"/>
        <charset val="1"/>
        <scheme val="none"/>
      </font>
      <numFmt numFmtId="3" formatCode="#,##0"/>
      <alignment horizontal="center" vertical="center" textRotation="0" wrapText="0" indent="0" justifyLastLine="0" shrinkToFit="0" readingOrder="0"/>
      <border diagonalUp="0" diagonalDown="0">
        <left style="thin">
          <color rgb="FFD8CDD4"/>
        </left>
        <right style="thin">
          <color rgb="FFD8CDD4"/>
        </right>
        <top style="thin">
          <color rgb="FFD8CDD4"/>
        </top>
        <bottom style="thin">
          <color rgb="FFD8CDD4"/>
        </bottom>
        <vertical/>
        <horizontal/>
      </border>
    </dxf>
    <dxf>
      <font>
        <b val="0"/>
        <i val="0"/>
        <strike val="0"/>
        <condense val="0"/>
        <extend val="0"/>
        <outline val="0"/>
        <shadow val="0"/>
        <u val="none"/>
        <vertAlign val="baseline"/>
        <sz val="9"/>
        <color rgb="FF1F2A37"/>
        <name val="Arial"/>
        <charset val="1"/>
        <scheme val="none"/>
      </font>
      <numFmt numFmtId="3" formatCode="#,##0"/>
      <alignment horizontal="center" vertical="center" textRotation="0" wrapText="0" indent="0" justifyLastLine="0" shrinkToFit="0" readingOrder="0"/>
      <border diagonalUp="0" diagonalDown="0">
        <left style="thin">
          <color rgb="FFD8CDD4"/>
        </left>
        <right style="thin">
          <color rgb="FFD8CDD4"/>
        </right>
        <top style="thin">
          <color rgb="FFD8CDD4"/>
        </top>
        <bottom style="thin">
          <color rgb="FFD8CDD4"/>
        </bottom>
        <vertical/>
        <horizontal/>
      </border>
    </dxf>
    <dxf>
      <font>
        <b val="0"/>
        <i val="0"/>
        <strike val="0"/>
        <condense val="0"/>
        <extend val="0"/>
        <outline val="0"/>
        <shadow val="0"/>
        <u val="none"/>
        <vertAlign val="baseline"/>
        <sz val="9"/>
        <color rgb="FF1F2A37"/>
        <name val="Arial"/>
        <charset val="1"/>
        <scheme val="none"/>
      </font>
      <numFmt numFmtId="3" formatCode="#,##0"/>
      <alignment horizontal="center" vertical="center" textRotation="0" wrapText="0" indent="0" justifyLastLine="0" shrinkToFit="0" readingOrder="0"/>
      <border diagonalUp="0" diagonalDown="0">
        <left style="thin">
          <color rgb="FFD8CDD4"/>
        </left>
        <right style="thin">
          <color rgb="FFD8CDD4"/>
        </right>
        <top style="thin">
          <color rgb="FFD8CDD4"/>
        </top>
        <bottom style="thin">
          <color rgb="FFD8CDD4"/>
        </bottom>
        <vertical/>
        <horizontal/>
      </border>
    </dxf>
    <dxf>
      <font>
        <b val="0"/>
        <i val="0"/>
        <strike val="0"/>
        <condense val="0"/>
        <extend val="0"/>
        <outline val="0"/>
        <shadow val="0"/>
        <u val="none"/>
        <vertAlign val="baseline"/>
        <sz val="9"/>
        <color rgb="FF008000"/>
        <name val="Arial"/>
        <charset val="1"/>
        <scheme val="none"/>
      </font>
      <numFmt numFmtId="167" formatCode="\€#,##0.00"/>
      <alignment horizontal="center" vertical="center" textRotation="0" wrapText="0" indent="0" justifyLastLine="0" shrinkToFit="0" readingOrder="0"/>
      <border diagonalUp="0" diagonalDown="0">
        <left style="thin">
          <color rgb="FFD8CDD4"/>
        </left>
        <right style="thin">
          <color rgb="FFD8CDD4"/>
        </right>
        <top style="thin">
          <color rgb="FFD8CDD4"/>
        </top>
        <bottom style="thin">
          <color rgb="FFD8CDD4"/>
        </bottom>
        <vertical/>
        <horizontal/>
      </border>
    </dxf>
    <dxf>
      <font>
        <b val="0"/>
        <i val="0"/>
        <strike val="0"/>
        <condense val="0"/>
        <extend val="0"/>
        <outline val="0"/>
        <shadow val="0"/>
        <u val="none"/>
        <vertAlign val="baseline"/>
        <sz val="9"/>
        <color rgb="FF008000"/>
        <name val="Arial"/>
        <charset val="1"/>
        <scheme val="none"/>
      </font>
      <alignment horizontal="left" vertical="center" textRotation="0" wrapText="0" indent="0" justifyLastLine="0" shrinkToFit="0" readingOrder="0"/>
      <border diagonalUp="0" diagonalDown="0">
        <left style="thin">
          <color rgb="FFD8CDD4"/>
        </left>
        <right style="thin">
          <color rgb="FFD8CDD4"/>
        </right>
        <top style="thin">
          <color rgb="FFD8CDD4"/>
        </top>
        <bottom style="thin">
          <color rgb="FFD8CDD4"/>
        </bottom>
        <vertical/>
        <horizontal/>
      </border>
    </dxf>
    <dxf>
      <font>
        <b val="0"/>
        <i val="0"/>
        <strike val="0"/>
        <condense val="0"/>
        <extend val="0"/>
        <outline val="0"/>
        <shadow val="0"/>
        <u val="none"/>
        <vertAlign val="baseline"/>
        <sz val="9"/>
        <color rgb="FF008000"/>
        <name val="Arial"/>
        <charset val="1"/>
        <scheme val="none"/>
      </font>
      <alignment horizontal="left" vertical="center" textRotation="0" wrapText="0" indent="0" justifyLastLine="0" shrinkToFit="0" readingOrder="0"/>
      <border diagonalUp="0" diagonalDown="0">
        <left style="thin">
          <color rgb="FFD8CDD4"/>
        </left>
        <right style="thin">
          <color rgb="FFD8CDD4"/>
        </right>
        <top style="thin">
          <color rgb="FFD8CDD4"/>
        </top>
        <bottom style="thin">
          <color rgb="FFD8CDD4"/>
        </bottom>
        <vertical/>
        <horizontal/>
      </border>
    </dxf>
    <dxf>
      <font>
        <b val="0"/>
        <i val="0"/>
        <strike val="0"/>
        <condense val="0"/>
        <extend val="0"/>
        <outline val="0"/>
        <shadow val="0"/>
        <u val="none"/>
        <vertAlign val="baseline"/>
        <sz val="9"/>
        <color rgb="FF008000"/>
        <name val="Arial"/>
        <charset val="1"/>
        <scheme val="none"/>
      </font>
      <alignment horizontal="left" vertical="center" textRotation="0" wrapText="0" indent="0" justifyLastLine="0" shrinkToFit="0" readingOrder="0"/>
      <border diagonalUp="0" diagonalDown="0">
        <left style="thin">
          <color rgb="FFD8CDD4"/>
        </left>
        <right style="thin">
          <color rgb="FFD8CDD4"/>
        </right>
        <top style="thin">
          <color rgb="FFD8CDD4"/>
        </top>
        <bottom style="thin">
          <color rgb="FFD8CDD4"/>
        </bottom>
        <vertical/>
        <horizontal/>
      </border>
    </dxf>
    <dxf>
      <font>
        <b val="0"/>
        <i val="0"/>
        <strike val="0"/>
        <condense val="0"/>
        <extend val="0"/>
        <outline val="0"/>
        <shadow val="0"/>
        <u val="none"/>
        <vertAlign val="baseline"/>
        <sz val="9"/>
        <color rgb="FF008000"/>
        <name val="Arial"/>
        <charset val="1"/>
        <scheme val="none"/>
      </font>
      <alignment horizontal="left" vertical="center" textRotation="0" wrapText="0" indent="0" justifyLastLine="0" shrinkToFit="0" readingOrder="0"/>
      <border diagonalUp="0" diagonalDown="0">
        <left style="thin">
          <color rgb="FFD8CDD4"/>
        </left>
        <right style="thin">
          <color rgb="FFD8CDD4"/>
        </right>
        <top style="thin">
          <color rgb="FFD8CDD4"/>
        </top>
        <bottom style="thin">
          <color rgb="FFD8CDD4"/>
        </bottom>
        <vertical/>
        <horizontal/>
      </border>
    </dxf>
    <dxf>
      <font>
        <b val="0"/>
        <i val="0"/>
        <strike val="0"/>
        <condense val="0"/>
        <extend val="0"/>
        <outline val="0"/>
        <shadow val="0"/>
        <u val="none"/>
        <vertAlign val="baseline"/>
        <sz val="9"/>
        <color rgb="FF1F2A37"/>
        <name val="Arial"/>
        <charset val="1"/>
        <scheme val="none"/>
      </font>
      <alignment horizontal="left" vertical="center" textRotation="0" wrapText="0" indent="0" justifyLastLine="0" shrinkToFit="0" readingOrder="0"/>
      <border diagonalUp="0" diagonalDown="0">
        <left style="thin">
          <color rgb="FFD8CDD4"/>
        </left>
        <right style="thin">
          <color rgb="FFD8CDD4"/>
        </right>
        <top style="thin">
          <color rgb="FFD8CDD4"/>
        </top>
        <bottom style="thin">
          <color rgb="FFD8CDD4"/>
        </bottom>
        <vertical/>
        <horizontal/>
      </border>
    </dxf>
    <dxf>
      <font>
        <b val="0"/>
        <i val="0"/>
        <strike val="0"/>
        <condense val="0"/>
        <extend val="0"/>
        <outline val="0"/>
        <shadow val="0"/>
        <u val="none"/>
        <vertAlign val="baseline"/>
        <sz val="9"/>
        <color rgb="FF1F2A37"/>
        <name val="Arial"/>
        <charset val="1"/>
        <scheme val="none"/>
      </font>
      <alignment horizontal="left" vertical="center" textRotation="0" wrapText="0" indent="0" justifyLastLine="0" shrinkToFit="0" readingOrder="0"/>
      <border diagonalUp="0" diagonalDown="0">
        <left/>
        <right style="thin">
          <color rgb="FFD8CDD4"/>
        </right>
        <top style="thin">
          <color rgb="FFD8CDD4"/>
        </top>
        <bottom style="thin">
          <color rgb="FFD8CDD4"/>
        </bottom>
        <vertical/>
        <horizontal/>
      </border>
    </dxf>
    <dxf>
      <border outline="0">
        <top style="thin">
          <color rgb="FFD8CDD4"/>
        </top>
      </border>
    </dxf>
    <dxf>
      <border outline="0">
        <bottom style="thin">
          <color rgb="FFD8CDD4"/>
        </bottom>
      </border>
    </dxf>
    <dxf>
      <border outline="0">
        <left style="thin">
          <color rgb="FFD8CDD4"/>
        </left>
        <right style="thin">
          <color rgb="FFD8CDD4"/>
        </right>
        <top style="thin">
          <color rgb="FFD8CDD4"/>
        </top>
        <bottom style="thin">
          <color rgb="FFD8CDD4"/>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BE4B48"/>
      <rgbColor rgb="FFFFFDE7"/>
      <rgbColor rgb="FFF4EEF1"/>
      <rgbColor rgb="FF6B1F4E"/>
      <rgbColor rgb="FFFF8080"/>
      <rgbColor rgb="FF0066CC"/>
      <rgbColor rgb="FFD8CDD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8B855"/>
      <rgbColor rgb="FFFFCC00"/>
      <rgbColor rgb="FFFF9900"/>
      <rgbColor rgb="FFFF6600"/>
      <rgbColor rgb="FF6B7280"/>
      <rgbColor rgb="FFB08D57"/>
      <rgbColor rgb="FF003366"/>
      <rgbColor rgb="FF4F81BD"/>
      <rgbColor rgb="FF003300"/>
      <rgbColor rgb="FF333300"/>
      <rgbColor rgb="FF993300"/>
      <rgbColor rgb="FF7D5FA0"/>
      <rgbColor rgb="FF333399"/>
      <rgbColor rgb="FF1F2A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da-DK" sz="1800" b="1" strike="noStrike" spc="-1">
                <a:solidFill>
                  <a:srgbClr val="000000"/>
                </a:solidFill>
                <a:latin typeface="Calibri"/>
              </a:rPr>
              <a:t>Sell-Through by Category</a:t>
            </a:r>
          </a:p>
        </c:rich>
      </c:tx>
      <c:overlay val="0"/>
      <c:spPr>
        <a:noFill/>
        <a:ln w="0">
          <a:noFill/>
        </a:ln>
      </c:spPr>
    </c:title>
    <c:autoTitleDeleted val="0"/>
    <c:plotArea>
      <c:layout/>
      <c:barChart>
        <c:barDir val="col"/>
        <c:grouping val="clustered"/>
        <c:varyColors val="0"/>
        <c:ser>
          <c:idx val="0"/>
          <c:order val="0"/>
          <c:tx>
            <c:strRef>
              <c:f>Dashboard!$K$13</c:f>
              <c:strCache>
                <c:ptCount val="1"/>
                <c:pt idx="0">
                  <c:v>Sell-Through</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da-DK"/>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Dashboard!$I$14:$I$18</c:f>
              <c:strCache>
                <c:ptCount val="5"/>
                <c:pt idx="0">
                  <c:v>Dresses</c:v>
                </c:pt>
                <c:pt idx="1">
                  <c:v>Tops</c:v>
                </c:pt>
                <c:pt idx="2">
                  <c:v>Knitwear</c:v>
                </c:pt>
                <c:pt idx="3">
                  <c:v>Trousers</c:v>
                </c:pt>
                <c:pt idx="4">
                  <c:v>Outerwear</c:v>
                </c:pt>
              </c:strCache>
            </c:strRef>
          </c:cat>
          <c:val>
            <c:numRef>
              <c:f>Dashboard!$K$14:$K$18</c:f>
              <c:numCache>
                <c:formatCode>0.0%</c:formatCode>
                <c:ptCount val="5"/>
                <c:pt idx="0">
                  <c:v>0.80657999469355268</c:v>
                </c:pt>
                <c:pt idx="1">
                  <c:v>0.82888321337357784</c:v>
                </c:pt>
                <c:pt idx="2">
                  <c:v>0.94145283700758942</c:v>
                </c:pt>
                <c:pt idx="3">
                  <c:v>0.79803301721109943</c:v>
                </c:pt>
                <c:pt idx="4">
                  <c:v>0.53779877709838797</c:v>
                </c:pt>
              </c:numCache>
            </c:numRef>
          </c:val>
          <c:extLst>
            <c:ext xmlns:c16="http://schemas.microsoft.com/office/drawing/2014/chart" uri="{C3380CC4-5D6E-409C-BE32-E72D297353CC}">
              <c16:uniqueId val="{00000000-266C-4C10-A03A-7B88E78434CD}"/>
            </c:ext>
          </c:extLst>
        </c:ser>
        <c:dLbls>
          <c:showLegendKey val="0"/>
          <c:showVal val="0"/>
          <c:showCatName val="0"/>
          <c:showSerName val="0"/>
          <c:showPercent val="0"/>
          <c:showBubbleSize val="0"/>
        </c:dLbls>
        <c:gapWidth val="150"/>
        <c:axId val="7132124"/>
        <c:axId val="92099346"/>
      </c:barChart>
      <c:catAx>
        <c:axId val="713212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da-DK"/>
          </a:p>
        </c:txPr>
        <c:crossAx val="92099346"/>
        <c:crosses val="autoZero"/>
        <c:auto val="1"/>
        <c:lblAlgn val="ctr"/>
        <c:lblOffset val="100"/>
        <c:noMultiLvlLbl val="0"/>
      </c:catAx>
      <c:valAx>
        <c:axId val="92099346"/>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da-DK"/>
          </a:p>
        </c:txPr>
        <c:crossAx val="713212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da-DK" sz="1800" b="1" strike="noStrike" spc="-1">
                <a:solidFill>
                  <a:srgbClr val="000000"/>
                </a:solidFill>
                <a:latin typeface="Calibri"/>
              </a:rPr>
              <a:t>Sell-Through vs Weeks of Cover (each SKU × channel)</a:t>
            </a:r>
          </a:p>
        </c:rich>
      </c:tx>
      <c:overlay val="0"/>
      <c:spPr>
        <a:noFill/>
        <a:ln w="0">
          <a:noFill/>
        </a:ln>
      </c:spPr>
    </c:title>
    <c:autoTitleDeleted val="0"/>
    <c:plotArea>
      <c:layout/>
      <c:scatterChart>
        <c:scatterStyle val="lineMarker"/>
        <c:varyColors val="0"/>
        <c:ser>
          <c:idx val="0"/>
          <c:order val="0"/>
          <c:tx>
            <c:v>SKU × channel</c:v>
          </c:tx>
          <c:spPr>
            <a:ln w="28575">
              <a:noFill/>
            </a:ln>
          </c:spPr>
          <c:marker>
            <c:symbol val="circle"/>
            <c:size val="5"/>
            <c:spPr>
              <a:solidFill>
                <a:srgbClr val="2E75B6"/>
              </a:solidFill>
              <a:ln>
                <a:solidFill>
                  <a:srgbClr val="2E75B6"/>
                </a:solidFill>
                <a:prstDash val="solid"/>
              </a:ln>
            </c:spPr>
          </c:marker>
          <c:xVal>
            <c:numRef>
              <c:f>Analysis!$K$2:$K$121</c:f>
              <c:numCache>
                <c:formatCode>0.0%</c:formatCode>
                <c:ptCount val="120"/>
                <c:pt idx="0">
                  <c:v>1</c:v>
                </c:pt>
                <c:pt idx="1">
                  <c:v>1</c:v>
                </c:pt>
                <c:pt idx="2">
                  <c:v>1</c:v>
                </c:pt>
                <c:pt idx="3">
                  <c:v>0.96052631578947367</c:v>
                </c:pt>
                <c:pt idx="4">
                  <c:v>0.93969849246231152</c:v>
                </c:pt>
                <c:pt idx="5">
                  <c:v>0.93145161290322576</c:v>
                </c:pt>
                <c:pt idx="6">
                  <c:v>0.85119047619047616</c:v>
                </c:pt>
                <c:pt idx="7">
                  <c:v>1</c:v>
                </c:pt>
                <c:pt idx="8">
                  <c:v>1</c:v>
                </c:pt>
                <c:pt idx="9">
                  <c:v>0.86016949152542377</c:v>
                </c:pt>
                <c:pt idx="10">
                  <c:v>0.99295774647887325</c:v>
                </c:pt>
                <c:pt idx="11">
                  <c:v>0.97382198952879584</c:v>
                </c:pt>
                <c:pt idx="12">
                  <c:v>1</c:v>
                </c:pt>
                <c:pt idx="13">
                  <c:v>0.93809523809523809</c:v>
                </c:pt>
                <c:pt idx="14">
                  <c:v>0.94067796610169496</c:v>
                </c:pt>
                <c:pt idx="15">
                  <c:v>0.95569620253164556</c:v>
                </c:pt>
                <c:pt idx="16">
                  <c:v>0.92982456140350878</c:v>
                </c:pt>
                <c:pt idx="17">
                  <c:v>1</c:v>
                </c:pt>
                <c:pt idx="18">
                  <c:v>1</c:v>
                </c:pt>
                <c:pt idx="19">
                  <c:v>0.89763779527559051</c:v>
                </c:pt>
                <c:pt idx="20">
                  <c:v>0.7589285714285714</c:v>
                </c:pt>
                <c:pt idx="21">
                  <c:v>0.87142857142857144</c:v>
                </c:pt>
                <c:pt idx="22">
                  <c:v>0.94680851063829785</c:v>
                </c:pt>
                <c:pt idx="23">
                  <c:v>0.89075630252100846</c:v>
                </c:pt>
                <c:pt idx="24">
                  <c:v>0.97297297297297303</c:v>
                </c:pt>
                <c:pt idx="25">
                  <c:v>0.92052980132450335</c:v>
                </c:pt>
                <c:pt idx="26">
                  <c:v>0.94565217391304346</c:v>
                </c:pt>
                <c:pt idx="27">
                  <c:v>0.89922480620155043</c:v>
                </c:pt>
                <c:pt idx="28">
                  <c:v>0.91608391608391604</c:v>
                </c:pt>
                <c:pt idx="29">
                  <c:v>0.97267759562841527</c:v>
                </c:pt>
                <c:pt idx="30">
                  <c:v>0.91056910569105687</c:v>
                </c:pt>
                <c:pt idx="31">
                  <c:v>0.83139534883720934</c:v>
                </c:pt>
                <c:pt idx="32">
                  <c:v>1</c:v>
                </c:pt>
                <c:pt idx="33">
                  <c:v>1</c:v>
                </c:pt>
                <c:pt idx="34">
                  <c:v>1</c:v>
                </c:pt>
                <c:pt idx="35">
                  <c:v>1</c:v>
                </c:pt>
                <c:pt idx="36">
                  <c:v>0.94186046511627908</c:v>
                </c:pt>
                <c:pt idx="37">
                  <c:v>0.97560975609756095</c:v>
                </c:pt>
                <c:pt idx="38">
                  <c:v>0.85365853658536583</c:v>
                </c:pt>
                <c:pt idx="39">
                  <c:v>0.96</c:v>
                </c:pt>
                <c:pt idx="40">
                  <c:v>0.87969924812030076</c:v>
                </c:pt>
                <c:pt idx="41">
                  <c:v>0.93604651162790697</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0.46825396825396826</c:v>
                </c:pt>
                <c:pt idx="73">
                  <c:v>0.4585635359116022</c:v>
                </c:pt>
                <c:pt idx="74">
                  <c:v>0.49090909090909091</c:v>
                </c:pt>
                <c:pt idx="75">
                  <c:v>0.45205479452054792</c:v>
                </c:pt>
                <c:pt idx="76">
                  <c:v>0.41916167664670656</c:v>
                </c:pt>
                <c:pt idx="77">
                  <c:v>0.51020408163265307</c:v>
                </c:pt>
                <c:pt idx="78">
                  <c:v>0.49618320610687022</c:v>
                </c:pt>
                <c:pt idx="79">
                  <c:v>0.53703703703703709</c:v>
                </c:pt>
                <c:pt idx="80">
                  <c:v>0.46308724832214765</c:v>
                </c:pt>
                <c:pt idx="81">
                  <c:v>0.43137254901960786</c:v>
                </c:pt>
                <c:pt idx="82">
                  <c:v>0.50450450450450446</c:v>
                </c:pt>
                <c:pt idx="83">
                  <c:v>0.5</c:v>
                </c:pt>
                <c:pt idx="84">
                  <c:v>0.391812865497076</c:v>
                </c:pt>
                <c:pt idx="85">
                  <c:v>0.47906976744186047</c:v>
                </c:pt>
                <c:pt idx="86">
                  <c:v>0.43661971830985913</c:v>
                </c:pt>
                <c:pt idx="87">
                  <c:v>0.4642857142857143</c:v>
                </c:pt>
                <c:pt idx="88">
                  <c:v>0.4391891891891892</c:v>
                </c:pt>
                <c:pt idx="89">
                  <c:v>0.45023696682464454</c:v>
                </c:pt>
                <c:pt idx="90">
                  <c:v>0.42222222222222222</c:v>
                </c:pt>
                <c:pt idx="91">
                  <c:v>0.50306748466257667</c:v>
                </c:pt>
                <c:pt idx="92">
                  <c:v>0.49549549549549549</c:v>
                </c:pt>
                <c:pt idx="93">
                  <c:v>0.46071428571428569</c:v>
                </c:pt>
                <c:pt idx="94">
                  <c:v>0.43915343915343913</c:v>
                </c:pt>
                <c:pt idx="95">
                  <c:v>0.44150943396226416</c:v>
                </c:pt>
                <c:pt idx="96">
                  <c:v>0.46086956521739131</c:v>
                </c:pt>
                <c:pt idx="97">
                  <c:v>0.43934426229508194</c:v>
                </c:pt>
                <c:pt idx="98">
                  <c:v>0.52121212121212124</c:v>
                </c:pt>
                <c:pt idx="99">
                  <c:v>0.43656716417910446</c:v>
                </c:pt>
                <c:pt idx="100">
                  <c:v>0.76158940397350994</c:v>
                </c:pt>
                <c:pt idx="101">
                  <c:v>0.81151832460732987</c:v>
                </c:pt>
                <c:pt idx="102">
                  <c:v>0.73913043478260865</c:v>
                </c:pt>
                <c:pt idx="103">
                  <c:v>0.6983240223463687</c:v>
                </c:pt>
                <c:pt idx="104">
                  <c:v>0.66412213740458015</c:v>
                </c:pt>
                <c:pt idx="105">
                  <c:v>0.66847826086956519</c:v>
                </c:pt>
                <c:pt idx="106">
                  <c:v>0.7407407407407407</c:v>
                </c:pt>
                <c:pt idx="107">
                  <c:v>0.79389312977099236</c:v>
                </c:pt>
                <c:pt idx="108">
                  <c:v>0.625</c:v>
                </c:pt>
                <c:pt idx="109">
                  <c:v>0.7192982456140351</c:v>
                </c:pt>
                <c:pt idx="110">
                  <c:v>0.68695652173913047</c:v>
                </c:pt>
                <c:pt idx="111">
                  <c:v>0.73381294964028776</c:v>
                </c:pt>
                <c:pt idx="112">
                  <c:v>0.74137931034482762</c:v>
                </c:pt>
                <c:pt idx="113">
                  <c:v>0.78205128205128205</c:v>
                </c:pt>
                <c:pt idx="114">
                  <c:v>0.67647058823529416</c:v>
                </c:pt>
                <c:pt idx="115">
                  <c:v>0.72602739726027399</c:v>
                </c:pt>
                <c:pt idx="116">
                  <c:v>0.77876106194690264</c:v>
                </c:pt>
                <c:pt idx="117">
                  <c:v>0.74496644295302017</c:v>
                </c:pt>
                <c:pt idx="118">
                  <c:v>0.73737373737373735</c:v>
                </c:pt>
                <c:pt idx="119">
                  <c:v>0.7279411764705882</c:v>
                </c:pt>
              </c:numCache>
            </c:numRef>
          </c:xVal>
          <c:yVal>
            <c:numRef>
              <c:f>Analysis!$P$2:$P$121</c:f>
              <c:numCache>
                <c:formatCode>0.0</c:formatCode>
                <c:ptCount val="120"/>
                <c:pt idx="0">
                  <c:v>0</c:v>
                </c:pt>
                <c:pt idx="1">
                  <c:v>0</c:v>
                </c:pt>
                <c:pt idx="2">
                  <c:v>0</c:v>
                </c:pt>
                <c:pt idx="3">
                  <c:v>0.5714285714285714</c:v>
                </c:pt>
                <c:pt idx="4">
                  <c:v>0.72727272727272729</c:v>
                </c:pt>
                <c:pt idx="5">
                  <c:v>0.8</c:v>
                </c:pt>
                <c:pt idx="6">
                  <c:v>2.0408163265306123</c:v>
                </c:pt>
                <c:pt idx="7">
                  <c:v>0</c:v>
                </c:pt>
                <c:pt idx="8">
                  <c:v>0</c:v>
                </c:pt>
                <c:pt idx="9">
                  <c:v>1.736842105263158</c:v>
                </c:pt>
                <c:pt idx="10">
                  <c:v>8.3333333333333329E-2</c:v>
                </c:pt>
                <c:pt idx="11">
                  <c:v>0.30303030303030304</c:v>
                </c:pt>
                <c:pt idx="12">
                  <c:v>0</c:v>
                </c:pt>
                <c:pt idx="13">
                  <c:v>0.8125</c:v>
                </c:pt>
                <c:pt idx="14">
                  <c:v>0.73684210526315785</c:v>
                </c:pt>
                <c:pt idx="15">
                  <c:v>0.53846153846153844</c:v>
                </c:pt>
                <c:pt idx="16">
                  <c:v>0.84210526315789469</c:v>
                </c:pt>
                <c:pt idx="17">
                  <c:v>0</c:v>
                </c:pt>
                <c:pt idx="18">
                  <c:v>0</c:v>
                </c:pt>
                <c:pt idx="19">
                  <c:v>1.3333333333333333</c:v>
                </c:pt>
                <c:pt idx="20">
                  <c:v>3.2727272727272729</c:v>
                </c:pt>
                <c:pt idx="21">
                  <c:v>1.9459459459459461</c:v>
                </c:pt>
                <c:pt idx="22">
                  <c:v>0.7142857142857143</c:v>
                </c:pt>
                <c:pt idx="23">
                  <c:v>1.5294117647058822</c:v>
                </c:pt>
                <c:pt idx="24">
                  <c:v>0.34285714285714286</c:v>
                </c:pt>
                <c:pt idx="25">
                  <c:v>0.94117647058823528</c:v>
                </c:pt>
                <c:pt idx="26">
                  <c:v>0.68965517241379315</c:v>
                </c:pt>
                <c:pt idx="27">
                  <c:v>1.3</c:v>
                </c:pt>
                <c:pt idx="28">
                  <c:v>0.96</c:v>
                </c:pt>
                <c:pt idx="29">
                  <c:v>0.36363636363636365</c:v>
                </c:pt>
                <c:pt idx="30">
                  <c:v>1.1891891891891893</c:v>
                </c:pt>
                <c:pt idx="31">
                  <c:v>2.4166666666666665</c:v>
                </c:pt>
                <c:pt idx="32">
                  <c:v>0</c:v>
                </c:pt>
                <c:pt idx="33">
                  <c:v>0</c:v>
                </c:pt>
                <c:pt idx="34">
                  <c:v>0</c:v>
                </c:pt>
                <c:pt idx="35">
                  <c:v>0</c:v>
                </c:pt>
                <c:pt idx="36">
                  <c:v>0.8</c:v>
                </c:pt>
                <c:pt idx="37">
                  <c:v>0.3</c:v>
                </c:pt>
                <c:pt idx="38">
                  <c:v>2.4</c:v>
                </c:pt>
                <c:pt idx="39">
                  <c:v>0.48484848484848486</c:v>
                </c:pt>
                <c:pt idx="40">
                  <c:v>1.5609756097560976</c:v>
                </c:pt>
                <c:pt idx="41">
                  <c:v>0.84615384615384615</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26.8</c:v>
                </c:pt>
                <c:pt idx="73">
                  <c:v>21.777777777777779</c:v>
                </c:pt>
                <c:pt idx="74">
                  <c:v>24.888888888888889</c:v>
                </c:pt>
                <c:pt idx="75">
                  <c:v>26.666666666666668</c:v>
                </c:pt>
                <c:pt idx="76">
                  <c:v>29.846153846153847</c:v>
                </c:pt>
                <c:pt idx="77">
                  <c:v>18.285714285714285</c:v>
                </c:pt>
                <c:pt idx="78">
                  <c:v>20.307692307692307</c:v>
                </c:pt>
                <c:pt idx="79">
                  <c:v>16.666666666666668</c:v>
                </c:pt>
                <c:pt idx="80">
                  <c:v>22.857142857142858</c:v>
                </c:pt>
                <c:pt idx="81">
                  <c:v>30.933333333333334</c:v>
                </c:pt>
                <c:pt idx="82">
                  <c:v>22</c:v>
                </c:pt>
                <c:pt idx="83">
                  <c:v>17.111111111111111</c:v>
                </c:pt>
                <c:pt idx="84">
                  <c:v>32</c:v>
                </c:pt>
                <c:pt idx="85">
                  <c:v>22.4</c:v>
                </c:pt>
                <c:pt idx="86">
                  <c:v>26.666666666666668</c:v>
                </c:pt>
                <c:pt idx="87">
                  <c:v>22.105263157894736</c:v>
                </c:pt>
                <c:pt idx="88">
                  <c:v>22.133333333333333</c:v>
                </c:pt>
                <c:pt idx="89">
                  <c:v>23.2</c:v>
                </c:pt>
                <c:pt idx="90">
                  <c:v>26</c:v>
                </c:pt>
                <c:pt idx="91">
                  <c:v>20.25</c:v>
                </c:pt>
                <c:pt idx="92">
                  <c:v>20.363636363636363</c:v>
                </c:pt>
                <c:pt idx="93">
                  <c:v>24.16</c:v>
                </c:pt>
                <c:pt idx="94">
                  <c:v>23.555555555555557</c:v>
                </c:pt>
                <c:pt idx="95">
                  <c:v>24.666666666666668</c:v>
                </c:pt>
                <c:pt idx="96">
                  <c:v>19.84</c:v>
                </c:pt>
                <c:pt idx="97">
                  <c:v>23.586206896551722</c:v>
                </c:pt>
                <c:pt idx="98">
                  <c:v>19.75</c:v>
                </c:pt>
                <c:pt idx="99">
                  <c:v>26.260869565217391</c:v>
                </c:pt>
                <c:pt idx="100">
                  <c:v>4.1142857142857139</c:v>
                </c:pt>
                <c:pt idx="101">
                  <c:v>2.9387755102040818</c:v>
                </c:pt>
                <c:pt idx="102">
                  <c:v>4</c:v>
                </c:pt>
                <c:pt idx="103">
                  <c:v>5.2682926829268295</c:v>
                </c:pt>
                <c:pt idx="104">
                  <c:v>5.67741935483871</c:v>
                </c:pt>
                <c:pt idx="105">
                  <c:v>6.2564102564102564</c:v>
                </c:pt>
                <c:pt idx="106">
                  <c:v>4.1481481481481479</c:v>
                </c:pt>
                <c:pt idx="107">
                  <c:v>3.1764705882352939</c:v>
                </c:pt>
                <c:pt idx="108">
                  <c:v>7.1111111111111107</c:v>
                </c:pt>
                <c:pt idx="109">
                  <c:v>4.1739130434782608</c:v>
                </c:pt>
                <c:pt idx="110">
                  <c:v>5.5384615384615383</c:v>
                </c:pt>
                <c:pt idx="111">
                  <c:v>4.1111111111111107</c:v>
                </c:pt>
                <c:pt idx="112">
                  <c:v>4.4444444444444446</c:v>
                </c:pt>
                <c:pt idx="113">
                  <c:v>3.4</c:v>
                </c:pt>
                <c:pt idx="114">
                  <c:v>5.7391304347826084</c:v>
                </c:pt>
                <c:pt idx="115">
                  <c:v>4.3243243243243246</c:v>
                </c:pt>
                <c:pt idx="116">
                  <c:v>3.3333333333333335</c:v>
                </c:pt>
                <c:pt idx="117">
                  <c:v>4.3428571428571425</c:v>
                </c:pt>
                <c:pt idx="118">
                  <c:v>3.8518518518518516</c:v>
                </c:pt>
                <c:pt idx="119">
                  <c:v>4.4848484848484844</c:v>
                </c:pt>
              </c:numCache>
            </c:numRef>
          </c:yVal>
          <c:smooth val="0"/>
          <c:extLst>
            <c:ext xmlns:c16="http://schemas.microsoft.com/office/drawing/2014/chart" uri="{C3380CC4-5D6E-409C-BE32-E72D297353CC}">
              <c16:uniqueId val="{00000000-F111-42C8-92FD-68C9D29CAF04}"/>
            </c:ext>
          </c:extLst>
        </c:ser>
        <c:dLbls>
          <c:showLegendKey val="0"/>
          <c:showVal val="0"/>
          <c:showCatName val="0"/>
          <c:showSerName val="0"/>
          <c:showPercent val="0"/>
          <c:showBubbleSize val="0"/>
        </c:dLbls>
        <c:axId val="59328987"/>
        <c:axId val="53870541"/>
      </c:scatterChart>
      <c:valAx>
        <c:axId val="59328987"/>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Sell-Through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da-DK"/>
          </a:p>
        </c:txPr>
        <c:crossAx val="53870541"/>
        <c:crosses val="autoZero"/>
        <c:crossBetween val="midCat"/>
      </c:valAx>
      <c:valAx>
        <c:axId val="53870541"/>
        <c:scaling>
          <c:orientation val="minMax"/>
          <c:max val="14"/>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Weeks of Cover</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da-DK"/>
          </a:p>
        </c:txPr>
        <c:crossAx val="59328987"/>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19</xdr:row>
      <xdr:rowOff>174046</xdr:rowOff>
    </xdr:from>
    <xdr:to>
      <xdr:col>3</xdr:col>
      <xdr:colOff>553696</xdr:colOff>
      <xdr:row>33</xdr:row>
      <xdr:rowOff>33430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534737</xdr:colOff>
      <xdr:row>19</xdr:row>
      <xdr:rowOff>98850</xdr:rowOff>
    </xdr:from>
    <xdr:to>
      <xdr:col>8</xdr:col>
      <xdr:colOff>934223</xdr:colOff>
      <xdr:row>33</xdr:row>
      <xdr:rowOff>23250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293391</xdr:colOff>
      <xdr:row>2</xdr:row>
      <xdr:rowOff>87501</xdr:rowOff>
    </xdr:from>
    <xdr:to>
      <xdr:col>10</xdr:col>
      <xdr:colOff>278861</xdr:colOff>
      <xdr:row>16</xdr:row>
      <xdr:rowOff>34710</xdr:rowOff>
    </xdr:to>
    <mc:AlternateContent xmlns:mc="http://schemas.openxmlformats.org/markup-compatibility/2006">
      <mc:Choice xmlns:a14="http://schemas.microsoft.com/office/drawing/2010/main" Requires="a14">
        <xdr:graphicFrame macro="">
          <xdr:nvGraphicFramePr>
            <xdr:cNvPr id="2" name="Recommended Action">
              <a:extLst>
                <a:ext uri="{FF2B5EF4-FFF2-40B4-BE49-F238E27FC236}">
                  <a16:creationId xmlns:a16="http://schemas.microsoft.com/office/drawing/2014/main" id="{5CC918E8-A9C1-2B5E-6BBE-F59FB883ED93}"/>
                </a:ext>
              </a:extLst>
            </xdr:cNvPr>
            <xdr:cNvGraphicFramePr/>
          </xdr:nvGraphicFramePr>
          <xdr:xfrm>
            <a:off x="0" y="0"/>
            <a:ext cx="0" cy="0"/>
          </xdr:xfrm>
          <a:graphic>
            <a:graphicData uri="http://schemas.microsoft.com/office/drawing/2010/slicer">
              <sle:slicer xmlns:sle="http://schemas.microsoft.com/office/drawing/2010/slicer" name="Recommended Action"/>
            </a:graphicData>
          </a:graphic>
        </xdr:graphicFrame>
      </mc:Choice>
      <mc:Fallback>
        <xdr:sp macro="" textlink="">
          <xdr:nvSpPr>
            <xdr:cNvPr id="0" name=""/>
            <xdr:cNvSpPr>
              <a:spLocks noTextEdit="1"/>
            </xdr:cNvSpPr>
          </xdr:nvSpPr>
          <xdr:spPr>
            <a:xfrm>
              <a:off x="10550255" y="453433"/>
              <a:ext cx="1825894" cy="2508735"/>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ka Lisoni" refreshedDate="46214.679416087965" createdVersion="8" refreshedVersion="8" minRefreshableVersion="3" recordCount="120" xr:uid="{029F9FFD-5577-4840-9A18-F1A104AF9ECB}">
  <cacheSource type="worksheet">
    <worksheetSource name="Table1"/>
  </cacheSource>
  <cacheFields count="24">
    <cacheField name="SKU" numFmtId="0">
      <sharedItems count="30">
        <s v="VS-101-BLA"/>
        <s v="VS-101-WHI"/>
        <s v="VS-101-SAN"/>
        <s v="VS-102-ECR"/>
        <s v="VS-102-NAV"/>
        <s v="VS-102-GRE"/>
        <s v="VS-103-BLA"/>
        <s v="VS-103-CAM"/>
        <s v="VS-104-BLA"/>
        <s v="VS-104-CRE"/>
        <s v="VS-104-RUS"/>
        <s v="VS-201-BLU"/>
        <s v="VS-201-PIN"/>
        <s v="VS-202-CHA"/>
        <s v="VS-202-EME"/>
        <s v="VS-202-BLA"/>
        <s v="VS-203-WHI"/>
        <s v="VS-203-POW"/>
        <s v="VS-204-WHI"/>
        <s v="VS-204-LEM"/>
        <s v="VS-205-CHO"/>
        <s v="VS-205-SAG"/>
        <s v="VS-301-BLA"/>
        <s v="VS-301-IVO"/>
        <s v="VS-301-CHE"/>
        <s v="VS-302-ECR"/>
        <s v="VS-302-BLA"/>
        <s v="VS-302-OLI"/>
        <s v="VS-303-STO"/>
        <s v="VS-303-KHA"/>
      </sharedItems>
    </cacheField>
    <cacheField name="Channel" numFmtId="0">
      <sharedItems count="4">
        <s v="Own Site"/>
        <s v="Marketplace Alpha"/>
        <s v="Marketplace Beta"/>
        <s v="Marketplace Gamma"/>
      </sharedItems>
    </cacheField>
    <cacheField name="Style" numFmtId="0">
      <sharedItems count="12">
        <s v="Ribbed Jersey Top"/>
        <s v="Fine-Knit Cardigan"/>
        <s v="Tailored Cigarette Trouser"/>
        <s v="Roll-Neck Jumper"/>
        <s v="Floral Midi Dress"/>
        <s v="Satin Slip Dress"/>
        <s v="Puff-Sleeve Blouse"/>
        <s v="Broderie Top"/>
        <s v="Knit Bodycon Dress"/>
        <s v="Cropped Blazer"/>
        <s v="Wide-Leg Trouser"/>
        <s v="Belted Trench Coat"/>
      </sharedItems>
    </cacheField>
    <cacheField name="Category" numFmtId="0">
      <sharedItems/>
    </cacheField>
    <cacheField name="Colour" numFmtId="0">
      <sharedItems/>
    </cacheField>
    <cacheField name="NOOS" numFmtId="0">
      <sharedItems/>
    </cacheField>
    <cacheField name="List Price" numFmtId="167">
      <sharedItems containsSemiMixedTypes="0" containsString="0" containsNumber="1" minValue="17.989999999999998" maxValue="79.989999999999995"/>
    </cacheField>
    <cacheField name="Units Received" numFmtId="3">
      <sharedItems containsSemiMixedTypes="0" containsString="0" containsNumber="1" containsInteger="1" minValue="55" maxValue="305"/>
    </cacheField>
    <cacheField name="Units Sold" numFmtId="3">
      <sharedItems containsSemiMixedTypes="0" containsString="0" containsNumber="1" containsInteger="1" minValue="54" maxValue="268"/>
    </cacheField>
    <cacheField name="Ending Stock" numFmtId="3">
      <sharedItems containsSemiMixedTypes="0" containsString="0" containsNumber="1" containsInteger="1" minValue="0" maxValue="171"/>
    </cacheField>
    <cacheField name="Sell-Through %" numFmtId="165">
      <sharedItems containsSemiMixedTypes="0" containsString="0" containsNumber="1" minValue="0.391812865497076" maxValue="1"/>
    </cacheField>
    <cacheField name="Recent (last 4 weeks)Sales" numFmtId="3">
      <sharedItems containsSemiMixedTypes="0" containsString="0" containsNumber="1" containsInteger="1" minValue="0" maxValue="90"/>
    </cacheField>
    <cacheField name="Avg per Wk (recent)" numFmtId="166">
      <sharedItems containsSemiMixedTypes="0" containsString="0" containsNumber="1" minValue="0" maxValue="22.5"/>
    </cacheField>
    <cacheField name="Weeks Selling" numFmtId="3">
      <sharedItems containsSemiMixedTypes="0" containsString="0" containsNumber="1" containsInteger="1" minValue="3" maxValue="12"/>
    </cacheField>
    <cacheField name="Avg per Wk (live)" numFmtId="166">
      <sharedItems containsSemiMixedTypes="0" containsString="0" containsNumber="1" minValue="4.5" maxValue="62.333333333333336"/>
    </cacheField>
    <cacheField name="Weeks of Cover" numFmtId="166">
      <sharedItems containsSemiMixedTypes="0" containsString="0" containsNumber="1" minValue="0" maxValue="32"/>
    </cacheField>
    <cacheField name="Stock-out?" numFmtId="0">
      <sharedItems containsSemiMixedTypes="0" containsString="0" containsNumber="1" containsInteger="1" minValue="0" maxValue="1"/>
    </cacheField>
    <cacheField name="Velocity" numFmtId="166">
      <sharedItems containsSemiMixedTypes="0" containsString="0" containsNumber="1" minValue="2.25" maxValue="62.333333333333336"/>
    </cacheField>
    <cacheField name="Missed Units (planned rate)" numFmtId="166">
      <sharedItems containsSemiMixedTypes="0" containsString="0" containsNumber="1" minValue="0" maxValue="140.25"/>
    </cacheField>
    <cacheField name="Missed Rev €" numFmtId="164">
      <sharedItems containsSemiMixedTypes="0" containsString="0" containsNumber="1" minValue="0" maxValue="7011.0974999999999"/>
    </cacheField>
    <cacheField name="Reorder?" numFmtId="0">
      <sharedItems containsSemiMixedTypes="0" containsString="0" containsNumber="1" containsInteger="1" minValue="0" maxValue="1"/>
    </cacheField>
    <cacheField name="Markdown?" numFmtId="0">
      <sharedItems containsSemiMixedTypes="0" containsString="0" containsNumber="1" containsInteger="1" minValue="0" maxValue="1"/>
    </cacheField>
    <cacheField name="Reorder Qty" numFmtId="3">
      <sharedItems containsSemiMixedTypes="0" containsString="0" containsNumber="1" containsInteger="1" minValue="0" maxValue="374"/>
    </cacheField>
    <cacheField name="Recommended Action" numFmtId="0">
      <sharedItems count="4">
        <s v="Reorder - recover lost sales"/>
        <s v="Reorder / replenish"/>
        <s v="Maintain / monitor"/>
        <s v="Markdown / clear"/>
      </sharedItems>
    </cacheField>
  </cacheFields>
  <extLst>
    <ext xmlns:x14="http://schemas.microsoft.com/office/spreadsheetml/2009/9/main" uri="{725AE2AE-9491-48be-B2B4-4EB974FC3084}">
      <x14:pivotCacheDefinition pivotCacheId="10580126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s v="Tops"/>
    <s v="Black"/>
    <s v="Core"/>
    <n v="17.989999999999998"/>
    <n v="198"/>
    <n v="198"/>
    <n v="0"/>
    <n v="1"/>
    <n v="65"/>
    <n v="16.25"/>
    <n v="11"/>
    <n v="18"/>
    <n v="0"/>
    <n v="1"/>
    <n v="18"/>
    <n v="16.5"/>
    <n v="296.83499999999998"/>
    <n v="1"/>
    <n v="0"/>
    <n v="108"/>
    <x v="0"/>
  </r>
  <r>
    <x v="0"/>
    <x v="1"/>
    <x v="0"/>
    <s v="Tops"/>
    <s v="Black"/>
    <s v="Core"/>
    <n v="17.989999999999998"/>
    <n v="268"/>
    <n v="268"/>
    <n v="0"/>
    <n v="1"/>
    <n v="90"/>
    <n v="22.5"/>
    <n v="11"/>
    <n v="24.363636363636363"/>
    <n v="0"/>
    <n v="1"/>
    <n v="24.363636363636363"/>
    <n v="22.333333333333332"/>
    <n v="401.77666666666659"/>
    <n v="1"/>
    <n v="0"/>
    <n v="146"/>
    <x v="0"/>
  </r>
  <r>
    <x v="0"/>
    <x v="2"/>
    <x v="0"/>
    <s v="Tops"/>
    <s v="Black"/>
    <s v="Core"/>
    <n v="17.989999999999998"/>
    <n v="155"/>
    <n v="155"/>
    <n v="0"/>
    <n v="1"/>
    <n v="48"/>
    <n v="12"/>
    <n v="11"/>
    <n v="14.090909090909092"/>
    <n v="0"/>
    <n v="1"/>
    <n v="14.090909090909092"/>
    <n v="12.916666666666666"/>
    <n v="232.37083333333331"/>
    <n v="1"/>
    <n v="0"/>
    <n v="85"/>
    <x v="0"/>
  </r>
  <r>
    <x v="0"/>
    <x v="3"/>
    <x v="0"/>
    <s v="Tops"/>
    <s v="Black"/>
    <s v="Core"/>
    <n v="17.989999999999998"/>
    <n v="228"/>
    <n v="219"/>
    <n v="9"/>
    <n v="0.96052631578947367"/>
    <n v="63"/>
    <n v="15.75"/>
    <n v="12"/>
    <n v="18.25"/>
    <n v="0.5714285714285714"/>
    <n v="0"/>
    <n v="15.75"/>
    <n v="0"/>
    <n v="0"/>
    <n v="1"/>
    <n v="0"/>
    <n v="86"/>
    <x v="1"/>
  </r>
  <r>
    <x v="1"/>
    <x v="0"/>
    <x v="0"/>
    <s v="Tops"/>
    <s v="White"/>
    <s v="Core"/>
    <n v="17.989999999999998"/>
    <n v="199"/>
    <n v="187"/>
    <n v="12"/>
    <n v="0.93969849246231152"/>
    <n v="66"/>
    <n v="16.5"/>
    <n v="12"/>
    <n v="15.583333333333334"/>
    <n v="0.72727272727272729"/>
    <n v="0"/>
    <n v="16.5"/>
    <n v="0"/>
    <n v="0"/>
    <n v="1"/>
    <n v="0"/>
    <n v="87"/>
    <x v="1"/>
  </r>
  <r>
    <x v="1"/>
    <x v="1"/>
    <x v="0"/>
    <s v="Tops"/>
    <s v="White"/>
    <s v="Core"/>
    <n v="17.989999999999998"/>
    <n v="248"/>
    <n v="231"/>
    <n v="17"/>
    <n v="0.93145161290322576"/>
    <n v="85"/>
    <n v="21.25"/>
    <n v="12"/>
    <n v="19.25"/>
    <n v="0.8"/>
    <n v="0"/>
    <n v="21.25"/>
    <n v="0"/>
    <n v="0"/>
    <n v="1"/>
    <n v="0"/>
    <n v="111"/>
    <x v="1"/>
  </r>
  <r>
    <x v="1"/>
    <x v="2"/>
    <x v="0"/>
    <s v="Tops"/>
    <s v="White"/>
    <s v="Core"/>
    <n v="17.989999999999998"/>
    <n v="168"/>
    <n v="143"/>
    <n v="25"/>
    <n v="0.85119047619047616"/>
    <n v="49"/>
    <n v="12.25"/>
    <n v="12"/>
    <n v="11.916666666666666"/>
    <n v="2.0408163265306123"/>
    <n v="0"/>
    <n v="12.25"/>
    <n v="0"/>
    <n v="0"/>
    <n v="1"/>
    <n v="0"/>
    <n v="49"/>
    <x v="1"/>
  </r>
  <r>
    <x v="1"/>
    <x v="3"/>
    <x v="0"/>
    <s v="Tops"/>
    <s v="White"/>
    <s v="Core"/>
    <n v="17.989999999999998"/>
    <n v="214"/>
    <n v="214"/>
    <n v="0"/>
    <n v="1"/>
    <n v="74"/>
    <n v="18.5"/>
    <n v="11"/>
    <n v="19.454545454545453"/>
    <n v="0"/>
    <n v="1"/>
    <n v="19.454545454545453"/>
    <n v="17.833333333333332"/>
    <n v="320.8216666666666"/>
    <n v="1"/>
    <n v="0"/>
    <n v="117"/>
    <x v="0"/>
  </r>
  <r>
    <x v="2"/>
    <x v="0"/>
    <x v="0"/>
    <s v="Tops"/>
    <s v="Sand"/>
    <s v="Core"/>
    <n v="17.989999999999998"/>
    <n v="164"/>
    <n v="164"/>
    <n v="0"/>
    <n v="1"/>
    <n v="59"/>
    <n v="14.75"/>
    <n v="11"/>
    <n v="14.909090909090908"/>
    <n v="0"/>
    <n v="1"/>
    <n v="14.909090909090908"/>
    <n v="13.666666666666666"/>
    <n v="245.86333333333329"/>
    <n v="1"/>
    <n v="0"/>
    <n v="89"/>
    <x v="0"/>
  </r>
  <r>
    <x v="2"/>
    <x v="1"/>
    <x v="0"/>
    <s v="Tops"/>
    <s v="Sand"/>
    <s v="Core"/>
    <n v="17.989999999999998"/>
    <n v="236"/>
    <n v="203"/>
    <n v="33"/>
    <n v="0.86016949152542377"/>
    <n v="76"/>
    <n v="19"/>
    <n v="12"/>
    <n v="16.916666666666668"/>
    <n v="1.736842105263158"/>
    <n v="0"/>
    <n v="19"/>
    <n v="0"/>
    <n v="0"/>
    <n v="1"/>
    <n v="0"/>
    <n v="81"/>
    <x v="1"/>
  </r>
  <r>
    <x v="2"/>
    <x v="2"/>
    <x v="0"/>
    <s v="Tops"/>
    <s v="Sand"/>
    <s v="Core"/>
    <n v="17.989999999999998"/>
    <n v="142"/>
    <n v="141"/>
    <n v="1"/>
    <n v="0.99295774647887325"/>
    <n v="48"/>
    <n v="12"/>
    <n v="12"/>
    <n v="11.75"/>
    <n v="8.3333333333333329E-2"/>
    <n v="0"/>
    <n v="12"/>
    <n v="0"/>
    <n v="0"/>
    <n v="1"/>
    <n v="0"/>
    <n v="71"/>
    <x v="1"/>
  </r>
  <r>
    <x v="2"/>
    <x v="3"/>
    <x v="0"/>
    <s v="Tops"/>
    <s v="Sand"/>
    <s v="Core"/>
    <n v="17.989999999999998"/>
    <n v="191"/>
    <n v="186"/>
    <n v="5"/>
    <n v="0.97382198952879584"/>
    <n v="66"/>
    <n v="16.5"/>
    <n v="12"/>
    <n v="15.5"/>
    <n v="0.30303030303030304"/>
    <n v="0"/>
    <n v="16.5"/>
    <n v="0"/>
    <n v="0"/>
    <n v="1"/>
    <n v="0"/>
    <n v="94"/>
    <x v="1"/>
  </r>
  <r>
    <x v="3"/>
    <x v="0"/>
    <x v="1"/>
    <s v="Knitwear"/>
    <s v="Ecru"/>
    <s v="Core"/>
    <n v="39.99"/>
    <n v="132"/>
    <n v="132"/>
    <n v="0"/>
    <n v="1"/>
    <n v="41"/>
    <n v="10.25"/>
    <n v="11"/>
    <n v="12"/>
    <n v="0"/>
    <n v="1"/>
    <n v="12"/>
    <n v="11"/>
    <n v="439.89000000000004"/>
    <n v="1"/>
    <n v="0"/>
    <n v="72"/>
    <x v="0"/>
  </r>
  <r>
    <x v="3"/>
    <x v="1"/>
    <x v="1"/>
    <s v="Knitwear"/>
    <s v="Ecru"/>
    <s v="Core"/>
    <n v="39.99"/>
    <n v="210"/>
    <n v="197"/>
    <n v="13"/>
    <n v="0.93809523809523809"/>
    <n v="64"/>
    <n v="16"/>
    <n v="12"/>
    <n v="16.416666666666668"/>
    <n v="0.8125"/>
    <n v="0"/>
    <n v="16"/>
    <n v="0"/>
    <n v="0"/>
    <n v="1"/>
    <n v="0"/>
    <n v="83"/>
    <x v="1"/>
  </r>
  <r>
    <x v="3"/>
    <x v="2"/>
    <x v="1"/>
    <s v="Knitwear"/>
    <s v="Ecru"/>
    <s v="Core"/>
    <n v="39.99"/>
    <n v="118"/>
    <n v="111"/>
    <n v="7"/>
    <n v="0.94067796610169496"/>
    <n v="38"/>
    <n v="9.5"/>
    <n v="12"/>
    <n v="9.25"/>
    <n v="0.73684210526315785"/>
    <n v="0"/>
    <n v="9.5"/>
    <n v="0"/>
    <n v="0"/>
    <n v="1"/>
    <n v="0"/>
    <n v="50"/>
    <x v="1"/>
  </r>
  <r>
    <x v="3"/>
    <x v="3"/>
    <x v="1"/>
    <s v="Knitwear"/>
    <s v="Ecru"/>
    <s v="Core"/>
    <n v="39.99"/>
    <n v="158"/>
    <n v="151"/>
    <n v="7"/>
    <n v="0.95569620253164556"/>
    <n v="52"/>
    <n v="13"/>
    <n v="12"/>
    <n v="12.583333333333334"/>
    <n v="0.53846153846153844"/>
    <n v="0"/>
    <n v="13"/>
    <n v="0"/>
    <n v="0"/>
    <n v="1"/>
    <n v="0"/>
    <n v="71"/>
    <x v="1"/>
  </r>
  <r>
    <x v="4"/>
    <x v="0"/>
    <x v="1"/>
    <s v="Knitwear"/>
    <s v="Navy"/>
    <s v="Core"/>
    <n v="39.99"/>
    <n v="114"/>
    <n v="106"/>
    <n v="8"/>
    <n v="0.92982456140350878"/>
    <n v="38"/>
    <n v="9.5"/>
    <n v="12"/>
    <n v="8.8333333333333339"/>
    <n v="0.84210526315789469"/>
    <n v="0"/>
    <n v="9.5"/>
    <n v="0"/>
    <n v="0"/>
    <n v="1"/>
    <n v="0"/>
    <n v="49"/>
    <x v="1"/>
  </r>
  <r>
    <x v="4"/>
    <x v="1"/>
    <x v="1"/>
    <s v="Knitwear"/>
    <s v="Navy"/>
    <s v="Core"/>
    <n v="39.99"/>
    <n v="131"/>
    <n v="131"/>
    <n v="0"/>
    <n v="1"/>
    <n v="37"/>
    <n v="9.25"/>
    <n v="10"/>
    <n v="13.1"/>
    <n v="0"/>
    <n v="1"/>
    <n v="13.1"/>
    <n v="21.833333333333332"/>
    <n v="873.11500000000001"/>
    <n v="1"/>
    <n v="0"/>
    <n v="79"/>
    <x v="0"/>
  </r>
  <r>
    <x v="4"/>
    <x v="2"/>
    <x v="1"/>
    <s v="Knitwear"/>
    <s v="Navy"/>
    <s v="Core"/>
    <n v="39.99"/>
    <n v="82"/>
    <n v="82"/>
    <n v="0"/>
    <n v="1"/>
    <n v="20"/>
    <n v="5"/>
    <n v="10"/>
    <n v="8.1999999999999993"/>
    <n v="0"/>
    <n v="1"/>
    <n v="8.1999999999999993"/>
    <n v="13.666666666666666"/>
    <n v="546.53"/>
    <n v="1"/>
    <n v="0"/>
    <n v="49"/>
    <x v="0"/>
  </r>
  <r>
    <x v="4"/>
    <x v="3"/>
    <x v="1"/>
    <s v="Knitwear"/>
    <s v="Navy"/>
    <s v="Core"/>
    <n v="39.99"/>
    <n v="127"/>
    <n v="114"/>
    <n v="13"/>
    <n v="0.89763779527559051"/>
    <n v="39"/>
    <n v="9.75"/>
    <n v="12"/>
    <n v="9.5"/>
    <n v="1.3333333333333333"/>
    <n v="0"/>
    <n v="9.75"/>
    <n v="0"/>
    <n v="0"/>
    <n v="1"/>
    <n v="0"/>
    <n v="46"/>
    <x v="1"/>
  </r>
  <r>
    <x v="5"/>
    <x v="0"/>
    <x v="1"/>
    <s v="Knitwear"/>
    <s v="Grey"/>
    <s v="Core"/>
    <n v="39.99"/>
    <n v="112"/>
    <n v="85"/>
    <n v="27"/>
    <n v="0.7589285714285714"/>
    <n v="33"/>
    <n v="8.25"/>
    <n v="12"/>
    <n v="7.083333333333333"/>
    <n v="3.2727272727272729"/>
    <n v="0"/>
    <n v="8.25"/>
    <n v="0"/>
    <n v="0"/>
    <n v="0"/>
    <n v="0"/>
    <n v="0"/>
    <x v="2"/>
  </r>
  <r>
    <x v="5"/>
    <x v="1"/>
    <x v="1"/>
    <s v="Knitwear"/>
    <s v="Grey"/>
    <s v="Core"/>
    <n v="39.99"/>
    <n v="140"/>
    <n v="122"/>
    <n v="18"/>
    <n v="0.87142857142857144"/>
    <n v="37"/>
    <n v="9.25"/>
    <n v="12"/>
    <n v="10.166666666666666"/>
    <n v="1.9459459459459461"/>
    <n v="0"/>
    <n v="9.25"/>
    <n v="0"/>
    <n v="0"/>
    <n v="1"/>
    <n v="0"/>
    <n v="38"/>
    <x v="1"/>
  </r>
  <r>
    <x v="5"/>
    <x v="2"/>
    <x v="1"/>
    <s v="Knitwear"/>
    <s v="Grey"/>
    <s v="Core"/>
    <n v="39.99"/>
    <n v="94"/>
    <n v="89"/>
    <n v="5"/>
    <n v="0.94680851063829785"/>
    <n v="28"/>
    <n v="7"/>
    <n v="12"/>
    <n v="7.416666666666667"/>
    <n v="0.7142857142857143"/>
    <n v="0"/>
    <n v="7"/>
    <n v="0"/>
    <n v="0"/>
    <n v="1"/>
    <n v="0"/>
    <n v="37"/>
    <x v="1"/>
  </r>
  <r>
    <x v="5"/>
    <x v="3"/>
    <x v="1"/>
    <s v="Knitwear"/>
    <s v="Grey"/>
    <s v="Core"/>
    <n v="39.99"/>
    <n v="119"/>
    <n v="106"/>
    <n v="13"/>
    <n v="0.89075630252100846"/>
    <n v="34"/>
    <n v="8.5"/>
    <n v="12"/>
    <n v="8.8333333333333339"/>
    <n v="1.5294117647058822"/>
    <n v="0"/>
    <n v="8.5"/>
    <n v="0"/>
    <n v="0"/>
    <n v="1"/>
    <n v="0"/>
    <n v="38"/>
    <x v="1"/>
  </r>
  <r>
    <x v="6"/>
    <x v="0"/>
    <x v="2"/>
    <s v="Trousers"/>
    <s v="Black"/>
    <s v="Core"/>
    <n v="44.99"/>
    <n v="111"/>
    <n v="108"/>
    <n v="3"/>
    <n v="0.97297297297297303"/>
    <n v="35"/>
    <n v="8.75"/>
    <n v="12"/>
    <n v="9"/>
    <n v="0.34285714285714286"/>
    <n v="0"/>
    <n v="8.75"/>
    <n v="0"/>
    <n v="0"/>
    <n v="1"/>
    <n v="0"/>
    <n v="50"/>
    <x v="1"/>
  </r>
  <r>
    <x v="6"/>
    <x v="1"/>
    <x v="2"/>
    <s v="Trousers"/>
    <s v="Black"/>
    <s v="Core"/>
    <n v="44.99"/>
    <n v="151"/>
    <n v="139"/>
    <n v="12"/>
    <n v="0.92052980132450335"/>
    <n v="51"/>
    <n v="12.75"/>
    <n v="12"/>
    <n v="11.583333333333334"/>
    <n v="0.94117647058823528"/>
    <n v="0"/>
    <n v="12.75"/>
    <n v="0"/>
    <n v="0"/>
    <n v="1"/>
    <n v="0"/>
    <n v="65"/>
    <x v="1"/>
  </r>
  <r>
    <x v="6"/>
    <x v="2"/>
    <x v="2"/>
    <s v="Trousers"/>
    <s v="Black"/>
    <s v="Core"/>
    <n v="44.99"/>
    <n v="92"/>
    <n v="87"/>
    <n v="5"/>
    <n v="0.94565217391304346"/>
    <n v="29"/>
    <n v="7.25"/>
    <n v="12"/>
    <n v="7.25"/>
    <n v="0.68965517241379315"/>
    <n v="0"/>
    <n v="7.25"/>
    <n v="0"/>
    <n v="0"/>
    <n v="1"/>
    <n v="0"/>
    <n v="39"/>
    <x v="1"/>
  </r>
  <r>
    <x v="6"/>
    <x v="3"/>
    <x v="2"/>
    <s v="Trousers"/>
    <s v="Black"/>
    <s v="Core"/>
    <n v="44.99"/>
    <n v="129"/>
    <n v="116"/>
    <n v="13"/>
    <n v="0.89922480620155043"/>
    <n v="40"/>
    <n v="10"/>
    <n v="12"/>
    <n v="9.6666666666666661"/>
    <n v="1.3"/>
    <n v="0"/>
    <n v="10"/>
    <n v="0"/>
    <n v="0"/>
    <n v="1"/>
    <n v="0"/>
    <n v="47"/>
    <x v="1"/>
  </r>
  <r>
    <x v="7"/>
    <x v="0"/>
    <x v="2"/>
    <s v="Trousers"/>
    <s v="Camel"/>
    <s v="Core"/>
    <n v="44.99"/>
    <n v="143"/>
    <n v="131"/>
    <n v="12"/>
    <n v="0.91608391608391604"/>
    <n v="50"/>
    <n v="12.5"/>
    <n v="12"/>
    <n v="10.916666666666666"/>
    <n v="0.96"/>
    <n v="0"/>
    <n v="12.5"/>
    <n v="0"/>
    <n v="0"/>
    <n v="1"/>
    <n v="0"/>
    <n v="63"/>
    <x v="1"/>
  </r>
  <r>
    <x v="7"/>
    <x v="1"/>
    <x v="2"/>
    <s v="Trousers"/>
    <s v="Camel"/>
    <s v="Core"/>
    <n v="44.99"/>
    <n v="183"/>
    <n v="178"/>
    <n v="5"/>
    <n v="0.97267759562841527"/>
    <n v="55"/>
    <n v="13.75"/>
    <n v="12"/>
    <n v="14.833333333333334"/>
    <n v="0.36363636363636365"/>
    <n v="0"/>
    <n v="13.75"/>
    <n v="0"/>
    <n v="0"/>
    <n v="1"/>
    <n v="0"/>
    <n v="78"/>
    <x v="1"/>
  </r>
  <r>
    <x v="7"/>
    <x v="2"/>
    <x v="2"/>
    <s v="Trousers"/>
    <s v="Camel"/>
    <s v="Core"/>
    <n v="44.99"/>
    <n v="123"/>
    <n v="112"/>
    <n v="11"/>
    <n v="0.91056910569105687"/>
    <n v="37"/>
    <n v="9.25"/>
    <n v="12"/>
    <n v="9.3333333333333339"/>
    <n v="1.1891891891891893"/>
    <n v="0"/>
    <n v="9.25"/>
    <n v="0"/>
    <n v="0"/>
    <n v="1"/>
    <n v="0"/>
    <n v="45"/>
    <x v="1"/>
  </r>
  <r>
    <x v="7"/>
    <x v="3"/>
    <x v="2"/>
    <s v="Trousers"/>
    <s v="Camel"/>
    <s v="Core"/>
    <n v="44.99"/>
    <n v="172"/>
    <n v="143"/>
    <n v="29"/>
    <n v="0.83139534883720934"/>
    <n v="48"/>
    <n v="12"/>
    <n v="12"/>
    <n v="11.916666666666666"/>
    <n v="2.4166666666666665"/>
    <n v="0"/>
    <n v="12"/>
    <n v="0"/>
    <n v="0"/>
    <n v="1"/>
    <n v="0"/>
    <n v="43"/>
    <x v="1"/>
  </r>
  <r>
    <x v="8"/>
    <x v="0"/>
    <x v="3"/>
    <s v="Knitwear"/>
    <s v="Black"/>
    <s v="Core"/>
    <n v="34.99"/>
    <n v="69"/>
    <n v="69"/>
    <n v="0"/>
    <n v="1"/>
    <n v="18"/>
    <n v="4.5"/>
    <n v="10"/>
    <n v="6.9"/>
    <n v="0"/>
    <n v="1"/>
    <n v="6.9"/>
    <n v="11.5"/>
    <n v="402.38500000000005"/>
    <n v="1"/>
    <n v="0"/>
    <n v="41"/>
    <x v="0"/>
  </r>
  <r>
    <x v="8"/>
    <x v="1"/>
    <x v="3"/>
    <s v="Knitwear"/>
    <s v="Black"/>
    <s v="Core"/>
    <n v="34.99"/>
    <n v="96"/>
    <n v="96"/>
    <n v="0"/>
    <n v="1"/>
    <n v="32"/>
    <n v="8"/>
    <n v="11"/>
    <n v="8.7272727272727266"/>
    <n v="0"/>
    <n v="1"/>
    <n v="8.7272727272727266"/>
    <n v="8"/>
    <n v="279.92"/>
    <n v="1"/>
    <n v="0"/>
    <n v="52"/>
    <x v="0"/>
  </r>
  <r>
    <x v="8"/>
    <x v="2"/>
    <x v="3"/>
    <s v="Knitwear"/>
    <s v="Black"/>
    <s v="Core"/>
    <n v="34.99"/>
    <n v="59"/>
    <n v="59"/>
    <n v="0"/>
    <n v="1"/>
    <n v="19"/>
    <n v="4.75"/>
    <n v="11"/>
    <n v="5.3636363636363633"/>
    <n v="0"/>
    <n v="1"/>
    <n v="5.3636363636363633"/>
    <n v="4.916666666666667"/>
    <n v="172.03416666666669"/>
    <n v="1"/>
    <n v="0"/>
    <n v="32"/>
    <x v="0"/>
  </r>
  <r>
    <x v="8"/>
    <x v="3"/>
    <x v="3"/>
    <s v="Knitwear"/>
    <s v="Black"/>
    <s v="Core"/>
    <n v="34.99"/>
    <n v="81"/>
    <n v="81"/>
    <n v="0"/>
    <n v="1"/>
    <n v="22"/>
    <n v="5.5"/>
    <n v="11"/>
    <n v="7.3636363636363633"/>
    <n v="0"/>
    <n v="1"/>
    <n v="7.3636363636363633"/>
    <n v="6.75"/>
    <n v="236.1825"/>
    <n v="1"/>
    <n v="0"/>
    <n v="44"/>
    <x v="0"/>
  </r>
  <r>
    <x v="9"/>
    <x v="0"/>
    <x v="3"/>
    <s v="Knitwear"/>
    <s v="Cream"/>
    <s v="Core"/>
    <n v="34.99"/>
    <n v="86"/>
    <n v="81"/>
    <n v="5"/>
    <n v="0.94186046511627908"/>
    <n v="25"/>
    <n v="6.25"/>
    <n v="12"/>
    <n v="6.75"/>
    <n v="0.8"/>
    <n v="0"/>
    <n v="6.25"/>
    <n v="0"/>
    <n v="0"/>
    <n v="1"/>
    <n v="0"/>
    <n v="33"/>
    <x v="1"/>
  </r>
  <r>
    <x v="9"/>
    <x v="1"/>
    <x v="3"/>
    <s v="Knitwear"/>
    <s v="Cream"/>
    <s v="Core"/>
    <n v="34.99"/>
    <n v="123"/>
    <n v="120"/>
    <n v="3"/>
    <n v="0.97560975609756095"/>
    <n v="40"/>
    <n v="10"/>
    <n v="12"/>
    <n v="10"/>
    <n v="0.3"/>
    <n v="0"/>
    <n v="10"/>
    <n v="0"/>
    <n v="0"/>
    <n v="1"/>
    <n v="0"/>
    <n v="57"/>
    <x v="1"/>
  </r>
  <r>
    <x v="9"/>
    <x v="2"/>
    <x v="3"/>
    <s v="Knitwear"/>
    <s v="Cream"/>
    <s v="Core"/>
    <n v="34.99"/>
    <n v="82"/>
    <n v="70"/>
    <n v="12"/>
    <n v="0.85365853658536583"/>
    <n v="20"/>
    <n v="5"/>
    <n v="12"/>
    <n v="5.833333333333333"/>
    <n v="2.4"/>
    <n v="0"/>
    <n v="5"/>
    <n v="0"/>
    <n v="0"/>
    <n v="1"/>
    <n v="0"/>
    <n v="18"/>
    <x v="1"/>
  </r>
  <r>
    <x v="9"/>
    <x v="3"/>
    <x v="3"/>
    <s v="Knitwear"/>
    <s v="Cream"/>
    <s v="Core"/>
    <n v="34.99"/>
    <n v="100"/>
    <n v="96"/>
    <n v="4"/>
    <n v="0.96"/>
    <n v="33"/>
    <n v="8.25"/>
    <n v="12"/>
    <n v="8"/>
    <n v="0.48484848484848486"/>
    <n v="0"/>
    <n v="8.25"/>
    <n v="0"/>
    <n v="0"/>
    <n v="1"/>
    <n v="0"/>
    <n v="46"/>
    <x v="1"/>
  </r>
  <r>
    <x v="10"/>
    <x v="0"/>
    <x v="3"/>
    <s v="Knitwear"/>
    <s v="Rust"/>
    <s v="Core"/>
    <n v="34.99"/>
    <n v="133"/>
    <n v="117"/>
    <n v="16"/>
    <n v="0.87969924812030076"/>
    <n v="41"/>
    <n v="10.25"/>
    <n v="12"/>
    <n v="9.75"/>
    <n v="1.5609756097560976"/>
    <n v="0"/>
    <n v="10.25"/>
    <n v="0"/>
    <n v="0"/>
    <n v="1"/>
    <n v="0"/>
    <n v="46"/>
    <x v="1"/>
  </r>
  <r>
    <x v="10"/>
    <x v="1"/>
    <x v="3"/>
    <s v="Knitwear"/>
    <s v="Rust"/>
    <s v="Core"/>
    <n v="34.99"/>
    <n v="172"/>
    <n v="161"/>
    <n v="11"/>
    <n v="0.93604651162790697"/>
    <n v="52"/>
    <n v="13"/>
    <n v="12"/>
    <n v="13.416666666666666"/>
    <n v="0.84615384615384615"/>
    <n v="0"/>
    <n v="13"/>
    <n v="0"/>
    <n v="0"/>
    <n v="1"/>
    <n v="0"/>
    <n v="67"/>
    <x v="1"/>
  </r>
  <r>
    <x v="10"/>
    <x v="2"/>
    <x v="3"/>
    <s v="Knitwear"/>
    <s v="Rust"/>
    <s v="Core"/>
    <n v="34.99"/>
    <n v="97"/>
    <n v="97"/>
    <n v="0"/>
    <n v="1"/>
    <n v="35"/>
    <n v="8.75"/>
    <n v="11"/>
    <n v="8.8181818181818183"/>
    <n v="0"/>
    <n v="1"/>
    <n v="8.8181818181818183"/>
    <n v="8.0833333333333339"/>
    <n v="282.83583333333337"/>
    <n v="1"/>
    <n v="0"/>
    <n v="53"/>
    <x v="0"/>
  </r>
  <r>
    <x v="10"/>
    <x v="3"/>
    <x v="3"/>
    <s v="Knitwear"/>
    <s v="Rust"/>
    <s v="Core"/>
    <n v="34.99"/>
    <n v="132"/>
    <n v="132"/>
    <n v="0"/>
    <n v="1"/>
    <n v="35"/>
    <n v="8.75"/>
    <n v="10"/>
    <n v="13.2"/>
    <n v="0"/>
    <n v="1"/>
    <n v="13.2"/>
    <n v="22"/>
    <n v="769.78000000000009"/>
    <n v="1"/>
    <n v="0"/>
    <n v="79"/>
    <x v="0"/>
  </r>
  <r>
    <x v="11"/>
    <x v="0"/>
    <x v="4"/>
    <s v="Dresses"/>
    <s v="Blue Floral"/>
    <s v="Seasonal"/>
    <n v="49.99"/>
    <n v="100"/>
    <n v="100"/>
    <n v="0"/>
    <n v="1"/>
    <n v="0"/>
    <n v="0"/>
    <n v="4"/>
    <n v="25"/>
    <n v="0"/>
    <n v="1"/>
    <n v="25"/>
    <n v="66.666666666666671"/>
    <n v="3332.666666666667"/>
    <n v="1"/>
    <n v="0"/>
    <n v="150"/>
    <x v="0"/>
  </r>
  <r>
    <x v="11"/>
    <x v="1"/>
    <x v="4"/>
    <s v="Dresses"/>
    <s v="Blue Floral"/>
    <s v="Seasonal"/>
    <n v="49.99"/>
    <n v="127"/>
    <n v="127"/>
    <n v="0"/>
    <n v="1"/>
    <n v="0"/>
    <n v="0"/>
    <n v="4"/>
    <n v="31.75"/>
    <n v="0"/>
    <n v="1"/>
    <n v="31.75"/>
    <n v="84.666666666666671"/>
    <n v="4232.4866666666667"/>
    <n v="1"/>
    <n v="0"/>
    <n v="191"/>
    <x v="0"/>
  </r>
  <r>
    <x v="11"/>
    <x v="2"/>
    <x v="4"/>
    <s v="Dresses"/>
    <s v="Blue Floral"/>
    <s v="Seasonal"/>
    <n v="49.99"/>
    <n v="82"/>
    <n v="82"/>
    <n v="0"/>
    <n v="1"/>
    <n v="0"/>
    <n v="0"/>
    <n v="4"/>
    <n v="20.5"/>
    <n v="0"/>
    <n v="1"/>
    <n v="20.5"/>
    <n v="54.666666666666664"/>
    <n v="2732.7866666666669"/>
    <n v="1"/>
    <n v="0"/>
    <n v="123"/>
    <x v="0"/>
  </r>
  <r>
    <x v="11"/>
    <x v="3"/>
    <x v="4"/>
    <s v="Dresses"/>
    <s v="Blue Floral"/>
    <s v="Seasonal"/>
    <n v="49.99"/>
    <n v="127"/>
    <n v="127"/>
    <n v="0"/>
    <n v="1"/>
    <n v="0"/>
    <n v="0"/>
    <n v="4"/>
    <n v="31.75"/>
    <n v="0"/>
    <n v="1"/>
    <n v="31.75"/>
    <n v="84.666666666666671"/>
    <n v="4232.4866666666667"/>
    <n v="1"/>
    <n v="0"/>
    <n v="191"/>
    <x v="0"/>
  </r>
  <r>
    <x v="12"/>
    <x v="0"/>
    <x v="4"/>
    <s v="Dresses"/>
    <s v="Pink Floral"/>
    <s v="Seasonal"/>
    <n v="49.99"/>
    <n v="142"/>
    <n v="142"/>
    <n v="0"/>
    <n v="1"/>
    <n v="0"/>
    <n v="0"/>
    <n v="4"/>
    <n v="35.5"/>
    <n v="0"/>
    <n v="1"/>
    <n v="35.5"/>
    <n v="94.666666666666671"/>
    <n v="4732.3866666666672"/>
    <n v="1"/>
    <n v="0"/>
    <n v="213"/>
    <x v="0"/>
  </r>
  <r>
    <x v="12"/>
    <x v="1"/>
    <x v="4"/>
    <s v="Dresses"/>
    <s v="Pink Floral"/>
    <s v="Seasonal"/>
    <n v="49.99"/>
    <n v="187"/>
    <n v="187"/>
    <n v="0"/>
    <n v="1"/>
    <n v="0"/>
    <n v="0"/>
    <n v="3"/>
    <n v="62.333333333333336"/>
    <n v="0"/>
    <n v="1"/>
    <n v="62.333333333333336"/>
    <n v="140.25"/>
    <n v="7011.0974999999999"/>
    <n v="1"/>
    <n v="0"/>
    <n v="374"/>
    <x v="0"/>
  </r>
  <r>
    <x v="12"/>
    <x v="2"/>
    <x v="4"/>
    <s v="Dresses"/>
    <s v="Pink Floral"/>
    <s v="Seasonal"/>
    <n v="49.99"/>
    <n v="120"/>
    <n v="120"/>
    <n v="0"/>
    <n v="1"/>
    <n v="0"/>
    <n v="0"/>
    <n v="5"/>
    <n v="24"/>
    <n v="0"/>
    <n v="1"/>
    <n v="24"/>
    <n v="70"/>
    <n v="3499.3"/>
    <n v="1"/>
    <n v="0"/>
    <n v="144"/>
    <x v="0"/>
  </r>
  <r>
    <x v="12"/>
    <x v="3"/>
    <x v="4"/>
    <s v="Dresses"/>
    <s v="Pink Floral"/>
    <s v="Seasonal"/>
    <n v="49.99"/>
    <n v="154"/>
    <n v="154"/>
    <n v="0"/>
    <n v="1"/>
    <n v="0"/>
    <n v="0"/>
    <n v="3"/>
    <n v="51.333333333333336"/>
    <n v="0"/>
    <n v="1"/>
    <n v="51.333333333333336"/>
    <n v="115.5"/>
    <n v="5773.8450000000003"/>
    <n v="1"/>
    <n v="0"/>
    <n v="308"/>
    <x v="0"/>
  </r>
  <r>
    <x v="13"/>
    <x v="0"/>
    <x v="5"/>
    <s v="Dresses"/>
    <s v="Champagne"/>
    <s v="Seasonal"/>
    <n v="45.99"/>
    <n v="110"/>
    <n v="110"/>
    <n v="0"/>
    <n v="1"/>
    <n v="0"/>
    <n v="0"/>
    <n v="4"/>
    <n v="27.5"/>
    <n v="0"/>
    <n v="1"/>
    <n v="27.5"/>
    <n v="73.333333333333329"/>
    <n v="3372.6"/>
    <n v="1"/>
    <n v="0"/>
    <n v="165"/>
    <x v="0"/>
  </r>
  <r>
    <x v="13"/>
    <x v="1"/>
    <x v="5"/>
    <s v="Dresses"/>
    <s v="Champagne"/>
    <s v="Seasonal"/>
    <n v="45.99"/>
    <n v="129"/>
    <n v="129"/>
    <n v="0"/>
    <n v="1"/>
    <n v="0"/>
    <n v="0"/>
    <n v="3"/>
    <n v="43"/>
    <n v="0"/>
    <n v="1"/>
    <n v="43"/>
    <n v="96.75"/>
    <n v="4449.5325000000003"/>
    <n v="1"/>
    <n v="0"/>
    <n v="258"/>
    <x v="0"/>
  </r>
  <r>
    <x v="13"/>
    <x v="2"/>
    <x v="5"/>
    <s v="Dresses"/>
    <s v="Champagne"/>
    <s v="Seasonal"/>
    <n v="45.99"/>
    <n v="92"/>
    <n v="92"/>
    <n v="0"/>
    <n v="1"/>
    <n v="0"/>
    <n v="0"/>
    <n v="4"/>
    <n v="23"/>
    <n v="0"/>
    <n v="1"/>
    <n v="23"/>
    <n v="61.333333333333336"/>
    <n v="2820.7200000000003"/>
    <n v="1"/>
    <n v="0"/>
    <n v="138"/>
    <x v="0"/>
  </r>
  <r>
    <x v="13"/>
    <x v="3"/>
    <x v="5"/>
    <s v="Dresses"/>
    <s v="Champagne"/>
    <s v="Seasonal"/>
    <n v="45.99"/>
    <n v="107"/>
    <n v="107"/>
    <n v="0"/>
    <n v="1"/>
    <n v="0"/>
    <n v="0"/>
    <n v="3"/>
    <n v="35.666666666666664"/>
    <n v="0"/>
    <n v="1"/>
    <n v="35.666666666666664"/>
    <n v="80.25"/>
    <n v="3690.6975000000002"/>
    <n v="1"/>
    <n v="0"/>
    <n v="214"/>
    <x v="0"/>
  </r>
  <r>
    <x v="14"/>
    <x v="0"/>
    <x v="5"/>
    <s v="Dresses"/>
    <s v="Emerald"/>
    <s v="Seasonal"/>
    <n v="45.99"/>
    <n v="125"/>
    <n v="125"/>
    <n v="0"/>
    <n v="1"/>
    <n v="0"/>
    <n v="0"/>
    <n v="4"/>
    <n v="31.25"/>
    <n v="0"/>
    <n v="1"/>
    <n v="31.25"/>
    <n v="83.333333333333329"/>
    <n v="3832.5"/>
    <n v="1"/>
    <n v="0"/>
    <n v="188"/>
    <x v="0"/>
  </r>
  <r>
    <x v="14"/>
    <x v="1"/>
    <x v="5"/>
    <s v="Dresses"/>
    <s v="Emerald"/>
    <s v="Seasonal"/>
    <n v="45.99"/>
    <n v="166"/>
    <n v="166"/>
    <n v="0"/>
    <n v="1"/>
    <n v="0"/>
    <n v="0"/>
    <n v="5"/>
    <n v="33.200000000000003"/>
    <n v="0"/>
    <n v="1"/>
    <n v="33.200000000000003"/>
    <n v="96.833333333333343"/>
    <n v="4453.3650000000007"/>
    <n v="1"/>
    <n v="0"/>
    <n v="199"/>
    <x v="0"/>
  </r>
  <r>
    <x v="14"/>
    <x v="2"/>
    <x v="5"/>
    <s v="Dresses"/>
    <s v="Emerald"/>
    <s v="Seasonal"/>
    <n v="45.99"/>
    <n v="107"/>
    <n v="107"/>
    <n v="0"/>
    <n v="1"/>
    <n v="0"/>
    <n v="0"/>
    <n v="3"/>
    <n v="35.666666666666664"/>
    <n v="0"/>
    <n v="1"/>
    <n v="35.666666666666664"/>
    <n v="80.25"/>
    <n v="3690.6975000000002"/>
    <n v="1"/>
    <n v="0"/>
    <n v="214"/>
    <x v="0"/>
  </r>
  <r>
    <x v="14"/>
    <x v="3"/>
    <x v="5"/>
    <s v="Dresses"/>
    <s v="Emerald"/>
    <s v="Seasonal"/>
    <n v="45.99"/>
    <n v="129"/>
    <n v="129"/>
    <n v="0"/>
    <n v="1"/>
    <n v="0"/>
    <n v="0"/>
    <n v="3"/>
    <n v="43"/>
    <n v="0"/>
    <n v="1"/>
    <n v="43"/>
    <n v="96.75"/>
    <n v="4449.5325000000003"/>
    <n v="1"/>
    <n v="0"/>
    <n v="258"/>
    <x v="0"/>
  </r>
  <r>
    <x v="15"/>
    <x v="0"/>
    <x v="5"/>
    <s v="Dresses"/>
    <s v="Black"/>
    <s v="Seasonal"/>
    <n v="45.99"/>
    <n v="103"/>
    <n v="103"/>
    <n v="0"/>
    <n v="1"/>
    <n v="0"/>
    <n v="0"/>
    <n v="6"/>
    <n v="17.166666666666668"/>
    <n v="0"/>
    <n v="1"/>
    <n v="17.166666666666668"/>
    <n v="51.5"/>
    <n v="2368.4850000000001"/>
    <n v="1"/>
    <n v="0"/>
    <n v="103"/>
    <x v="0"/>
  </r>
  <r>
    <x v="15"/>
    <x v="1"/>
    <x v="5"/>
    <s v="Dresses"/>
    <s v="Black"/>
    <s v="Seasonal"/>
    <n v="45.99"/>
    <n v="132"/>
    <n v="132"/>
    <n v="0"/>
    <n v="1"/>
    <n v="0"/>
    <n v="0"/>
    <n v="4"/>
    <n v="33"/>
    <n v="0"/>
    <n v="1"/>
    <n v="33"/>
    <n v="88"/>
    <n v="4047.1200000000003"/>
    <n v="1"/>
    <n v="0"/>
    <n v="198"/>
    <x v="0"/>
  </r>
  <r>
    <x v="15"/>
    <x v="2"/>
    <x v="5"/>
    <s v="Dresses"/>
    <s v="Black"/>
    <s v="Seasonal"/>
    <n v="45.99"/>
    <n v="78"/>
    <n v="78"/>
    <n v="0"/>
    <n v="1"/>
    <n v="0"/>
    <n v="0"/>
    <n v="3"/>
    <n v="26"/>
    <n v="0"/>
    <n v="1"/>
    <n v="26"/>
    <n v="58.5"/>
    <n v="2690.415"/>
    <n v="1"/>
    <n v="0"/>
    <n v="156"/>
    <x v="0"/>
  </r>
  <r>
    <x v="15"/>
    <x v="3"/>
    <x v="5"/>
    <s v="Dresses"/>
    <s v="Black"/>
    <s v="Seasonal"/>
    <n v="45.99"/>
    <n v="110"/>
    <n v="110"/>
    <n v="0"/>
    <n v="1"/>
    <n v="0"/>
    <n v="0"/>
    <n v="3"/>
    <n v="36.666666666666664"/>
    <n v="0"/>
    <n v="1"/>
    <n v="36.666666666666664"/>
    <n v="82.5"/>
    <n v="3794.1750000000002"/>
    <n v="1"/>
    <n v="0"/>
    <n v="220"/>
    <x v="0"/>
  </r>
  <r>
    <x v="16"/>
    <x v="0"/>
    <x v="6"/>
    <s v="Tops"/>
    <s v="White"/>
    <s v="Seasonal"/>
    <n v="32.99"/>
    <n v="78"/>
    <n v="78"/>
    <n v="0"/>
    <n v="1"/>
    <n v="0"/>
    <n v="0"/>
    <n v="4"/>
    <n v="19.5"/>
    <n v="0"/>
    <n v="1"/>
    <n v="19.5"/>
    <n v="52"/>
    <n v="1715.48"/>
    <n v="1"/>
    <n v="0"/>
    <n v="117"/>
    <x v="0"/>
  </r>
  <r>
    <x v="16"/>
    <x v="1"/>
    <x v="6"/>
    <s v="Tops"/>
    <s v="White"/>
    <s v="Seasonal"/>
    <n v="32.99"/>
    <n v="115"/>
    <n v="115"/>
    <n v="0"/>
    <n v="1"/>
    <n v="0"/>
    <n v="0"/>
    <n v="4"/>
    <n v="28.75"/>
    <n v="0"/>
    <n v="1"/>
    <n v="28.75"/>
    <n v="76.666666666666671"/>
    <n v="2529.2333333333336"/>
    <n v="1"/>
    <n v="0"/>
    <n v="173"/>
    <x v="0"/>
  </r>
  <r>
    <x v="16"/>
    <x v="2"/>
    <x v="6"/>
    <s v="Tops"/>
    <s v="White"/>
    <s v="Seasonal"/>
    <n v="32.99"/>
    <n v="74"/>
    <n v="74"/>
    <n v="0"/>
    <n v="1"/>
    <n v="0"/>
    <n v="0"/>
    <n v="5"/>
    <n v="14.8"/>
    <n v="0"/>
    <n v="1"/>
    <n v="14.8"/>
    <n v="43.166666666666671"/>
    <n v="1424.0683333333336"/>
    <n v="1"/>
    <n v="0"/>
    <n v="89"/>
    <x v="0"/>
  </r>
  <r>
    <x v="16"/>
    <x v="3"/>
    <x v="6"/>
    <s v="Tops"/>
    <s v="White"/>
    <s v="Seasonal"/>
    <n v="32.99"/>
    <n v="93"/>
    <n v="93"/>
    <n v="0"/>
    <n v="1"/>
    <n v="0"/>
    <n v="0"/>
    <n v="5"/>
    <n v="18.600000000000001"/>
    <n v="0"/>
    <n v="1"/>
    <n v="18.600000000000001"/>
    <n v="54.25"/>
    <n v="1789.7075000000002"/>
    <n v="1"/>
    <n v="0"/>
    <n v="112"/>
    <x v="0"/>
  </r>
  <r>
    <x v="17"/>
    <x v="0"/>
    <x v="6"/>
    <s v="Tops"/>
    <s v="Powder Blue"/>
    <s v="Seasonal"/>
    <n v="32.99"/>
    <n v="72"/>
    <n v="72"/>
    <n v="0"/>
    <n v="1"/>
    <n v="0"/>
    <n v="0"/>
    <n v="5"/>
    <n v="14.4"/>
    <n v="0"/>
    <n v="1"/>
    <n v="14.4"/>
    <n v="42"/>
    <n v="1385.5800000000002"/>
    <n v="1"/>
    <n v="0"/>
    <n v="86"/>
    <x v="0"/>
  </r>
  <r>
    <x v="17"/>
    <x v="1"/>
    <x v="6"/>
    <s v="Tops"/>
    <s v="Powder Blue"/>
    <s v="Seasonal"/>
    <n v="32.99"/>
    <n v="102"/>
    <n v="102"/>
    <n v="0"/>
    <n v="1"/>
    <n v="0"/>
    <n v="0"/>
    <n v="6"/>
    <n v="17"/>
    <n v="0"/>
    <n v="1"/>
    <n v="17"/>
    <n v="51"/>
    <n v="1682.49"/>
    <n v="1"/>
    <n v="0"/>
    <n v="102"/>
    <x v="0"/>
  </r>
  <r>
    <x v="17"/>
    <x v="2"/>
    <x v="6"/>
    <s v="Tops"/>
    <s v="Powder Blue"/>
    <s v="Seasonal"/>
    <n v="32.99"/>
    <n v="55"/>
    <n v="55"/>
    <n v="0"/>
    <n v="1"/>
    <n v="0"/>
    <n v="0"/>
    <n v="3"/>
    <n v="18.333333333333332"/>
    <n v="0"/>
    <n v="1"/>
    <n v="18.333333333333332"/>
    <n v="41.25"/>
    <n v="1360.8375000000001"/>
    <n v="1"/>
    <n v="0"/>
    <n v="110"/>
    <x v="0"/>
  </r>
  <r>
    <x v="17"/>
    <x v="3"/>
    <x v="6"/>
    <s v="Tops"/>
    <s v="Powder Blue"/>
    <s v="Seasonal"/>
    <n v="32.99"/>
    <n v="88"/>
    <n v="88"/>
    <n v="0"/>
    <n v="1"/>
    <n v="0"/>
    <n v="0"/>
    <n v="5"/>
    <n v="17.600000000000001"/>
    <n v="0"/>
    <n v="1"/>
    <n v="17.600000000000001"/>
    <n v="51.333333333333329"/>
    <n v="1693.4866666666667"/>
    <n v="1"/>
    <n v="0"/>
    <n v="106"/>
    <x v="0"/>
  </r>
  <r>
    <x v="18"/>
    <x v="0"/>
    <x v="7"/>
    <s v="Tops"/>
    <s v="White"/>
    <s v="Seasonal"/>
    <n v="29.99"/>
    <n v="126"/>
    <n v="59"/>
    <n v="67"/>
    <n v="0.46825396825396826"/>
    <n v="10"/>
    <n v="2.5"/>
    <n v="12"/>
    <n v="4.916666666666667"/>
    <n v="26.8"/>
    <n v="0"/>
    <n v="2.5"/>
    <n v="0"/>
    <n v="0"/>
    <n v="0"/>
    <n v="1"/>
    <n v="0"/>
    <x v="3"/>
  </r>
  <r>
    <x v="18"/>
    <x v="1"/>
    <x v="7"/>
    <s v="Tops"/>
    <s v="White"/>
    <s v="Seasonal"/>
    <n v="29.99"/>
    <n v="181"/>
    <n v="83"/>
    <n v="98"/>
    <n v="0.4585635359116022"/>
    <n v="18"/>
    <n v="4.5"/>
    <n v="12"/>
    <n v="6.916666666666667"/>
    <n v="21.777777777777779"/>
    <n v="0"/>
    <n v="4.5"/>
    <n v="0"/>
    <n v="0"/>
    <n v="0"/>
    <n v="1"/>
    <n v="0"/>
    <x v="3"/>
  </r>
  <r>
    <x v="18"/>
    <x v="2"/>
    <x v="7"/>
    <s v="Tops"/>
    <s v="White"/>
    <s v="Seasonal"/>
    <n v="29.99"/>
    <n v="110"/>
    <n v="54"/>
    <n v="56"/>
    <n v="0.49090909090909091"/>
    <n v="9"/>
    <n v="2.25"/>
    <n v="12"/>
    <n v="4.5"/>
    <n v="24.888888888888889"/>
    <n v="0"/>
    <n v="2.25"/>
    <n v="0"/>
    <n v="0"/>
    <n v="0"/>
    <n v="1"/>
    <n v="0"/>
    <x v="3"/>
  </r>
  <r>
    <x v="18"/>
    <x v="3"/>
    <x v="7"/>
    <s v="Tops"/>
    <s v="White"/>
    <s v="Seasonal"/>
    <n v="29.99"/>
    <n v="146"/>
    <n v="66"/>
    <n v="80"/>
    <n v="0.45205479452054792"/>
    <n v="12"/>
    <n v="3"/>
    <n v="12"/>
    <n v="5.5"/>
    <n v="26.666666666666668"/>
    <n v="0"/>
    <n v="3"/>
    <n v="0"/>
    <n v="0"/>
    <n v="0"/>
    <n v="1"/>
    <n v="0"/>
    <x v="3"/>
  </r>
  <r>
    <x v="19"/>
    <x v="0"/>
    <x v="7"/>
    <s v="Tops"/>
    <s v="Lemon"/>
    <s v="Seasonal"/>
    <n v="29.99"/>
    <n v="167"/>
    <n v="70"/>
    <n v="97"/>
    <n v="0.41916167664670656"/>
    <n v="13"/>
    <n v="3.25"/>
    <n v="12"/>
    <n v="5.833333333333333"/>
    <n v="29.846153846153847"/>
    <n v="0"/>
    <n v="3.25"/>
    <n v="0"/>
    <n v="0"/>
    <n v="0"/>
    <n v="1"/>
    <n v="0"/>
    <x v="3"/>
  </r>
  <r>
    <x v="19"/>
    <x v="1"/>
    <x v="7"/>
    <s v="Tops"/>
    <s v="Lemon"/>
    <s v="Seasonal"/>
    <n v="29.99"/>
    <n v="196"/>
    <n v="100"/>
    <n v="96"/>
    <n v="0.51020408163265307"/>
    <n v="21"/>
    <n v="5.25"/>
    <n v="12"/>
    <n v="8.3333333333333339"/>
    <n v="18.285714285714285"/>
    <n v="0"/>
    <n v="5.25"/>
    <n v="0"/>
    <n v="0"/>
    <n v="0"/>
    <n v="1"/>
    <n v="0"/>
    <x v="3"/>
  </r>
  <r>
    <x v="19"/>
    <x v="2"/>
    <x v="7"/>
    <s v="Tops"/>
    <s v="Lemon"/>
    <s v="Seasonal"/>
    <n v="29.99"/>
    <n v="131"/>
    <n v="65"/>
    <n v="66"/>
    <n v="0.49618320610687022"/>
    <n v="13"/>
    <n v="3.25"/>
    <n v="12"/>
    <n v="5.416666666666667"/>
    <n v="20.307692307692307"/>
    <n v="0"/>
    <n v="3.25"/>
    <n v="0"/>
    <n v="0"/>
    <n v="0"/>
    <n v="1"/>
    <n v="0"/>
    <x v="3"/>
  </r>
  <r>
    <x v="19"/>
    <x v="3"/>
    <x v="7"/>
    <s v="Tops"/>
    <s v="Lemon"/>
    <s v="Seasonal"/>
    <n v="29.99"/>
    <n v="162"/>
    <n v="87"/>
    <n v="75"/>
    <n v="0.53703703703703709"/>
    <n v="18"/>
    <n v="4.5"/>
    <n v="12"/>
    <n v="7.25"/>
    <n v="16.666666666666668"/>
    <n v="0"/>
    <n v="4.5"/>
    <n v="0"/>
    <n v="0"/>
    <n v="0"/>
    <n v="1"/>
    <n v="0"/>
    <x v="3"/>
  </r>
  <r>
    <x v="20"/>
    <x v="0"/>
    <x v="8"/>
    <s v="Dresses"/>
    <s v="Chocolate"/>
    <s v="Seasonal"/>
    <n v="42.99"/>
    <n v="149"/>
    <n v="69"/>
    <n v="80"/>
    <n v="0.46308724832214765"/>
    <n v="14"/>
    <n v="3.5"/>
    <n v="12"/>
    <n v="5.75"/>
    <n v="22.857142857142858"/>
    <n v="0"/>
    <n v="3.5"/>
    <n v="0"/>
    <n v="0"/>
    <n v="0"/>
    <n v="1"/>
    <n v="0"/>
    <x v="3"/>
  </r>
  <r>
    <x v="20"/>
    <x v="1"/>
    <x v="8"/>
    <s v="Dresses"/>
    <s v="Chocolate"/>
    <s v="Seasonal"/>
    <n v="42.99"/>
    <n v="204"/>
    <n v="88"/>
    <n v="116"/>
    <n v="0.43137254901960786"/>
    <n v="15"/>
    <n v="3.75"/>
    <n v="12"/>
    <n v="7.333333333333333"/>
    <n v="30.933333333333334"/>
    <n v="0"/>
    <n v="3.75"/>
    <n v="0"/>
    <n v="0"/>
    <n v="0"/>
    <n v="1"/>
    <n v="0"/>
    <x v="3"/>
  </r>
  <r>
    <x v="20"/>
    <x v="2"/>
    <x v="8"/>
    <s v="Dresses"/>
    <s v="Chocolate"/>
    <s v="Seasonal"/>
    <n v="42.99"/>
    <n v="111"/>
    <n v="56"/>
    <n v="55"/>
    <n v="0.50450450450450446"/>
    <n v="10"/>
    <n v="2.5"/>
    <n v="12"/>
    <n v="4.666666666666667"/>
    <n v="22"/>
    <n v="0"/>
    <n v="2.5"/>
    <n v="0"/>
    <n v="0"/>
    <n v="0"/>
    <n v="1"/>
    <n v="0"/>
    <x v="3"/>
  </r>
  <r>
    <x v="20"/>
    <x v="3"/>
    <x v="8"/>
    <s v="Dresses"/>
    <s v="Chocolate"/>
    <s v="Seasonal"/>
    <n v="42.99"/>
    <n v="154"/>
    <n v="77"/>
    <n v="77"/>
    <n v="0.5"/>
    <n v="18"/>
    <n v="4.5"/>
    <n v="12"/>
    <n v="6.416666666666667"/>
    <n v="17.111111111111111"/>
    <n v="0"/>
    <n v="4.5"/>
    <n v="0"/>
    <n v="0"/>
    <n v="0"/>
    <n v="1"/>
    <n v="0"/>
    <x v="3"/>
  </r>
  <r>
    <x v="21"/>
    <x v="0"/>
    <x v="8"/>
    <s v="Dresses"/>
    <s v="Sage"/>
    <s v="Seasonal"/>
    <n v="42.99"/>
    <n v="171"/>
    <n v="67"/>
    <n v="104"/>
    <n v="0.391812865497076"/>
    <n v="13"/>
    <n v="3.25"/>
    <n v="12"/>
    <n v="5.583333333333333"/>
    <n v="32"/>
    <n v="0"/>
    <n v="3.25"/>
    <n v="0"/>
    <n v="0"/>
    <n v="0"/>
    <n v="1"/>
    <n v="0"/>
    <x v="3"/>
  </r>
  <r>
    <x v="21"/>
    <x v="1"/>
    <x v="8"/>
    <s v="Dresses"/>
    <s v="Sage"/>
    <s v="Seasonal"/>
    <n v="42.99"/>
    <n v="215"/>
    <n v="103"/>
    <n v="112"/>
    <n v="0.47906976744186047"/>
    <n v="20"/>
    <n v="5"/>
    <n v="12"/>
    <n v="8.5833333333333339"/>
    <n v="22.4"/>
    <n v="0"/>
    <n v="5"/>
    <n v="0"/>
    <n v="0"/>
    <n v="0"/>
    <n v="1"/>
    <n v="0"/>
    <x v="3"/>
  </r>
  <r>
    <x v="21"/>
    <x v="2"/>
    <x v="8"/>
    <s v="Dresses"/>
    <s v="Sage"/>
    <s v="Seasonal"/>
    <n v="42.99"/>
    <n v="142"/>
    <n v="62"/>
    <n v="80"/>
    <n v="0.43661971830985913"/>
    <n v="12"/>
    <n v="3"/>
    <n v="12"/>
    <n v="5.166666666666667"/>
    <n v="26.666666666666668"/>
    <n v="0"/>
    <n v="3"/>
    <n v="0"/>
    <n v="0"/>
    <n v="0"/>
    <n v="1"/>
    <n v="0"/>
    <x v="3"/>
  </r>
  <r>
    <x v="21"/>
    <x v="3"/>
    <x v="8"/>
    <s v="Dresses"/>
    <s v="Sage"/>
    <s v="Seasonal"/>
    <n v="42.99"/>
    <n v="196"/>
    <n v="91"/>
    <n v="105"/>
    <n v="0.4642857142857143"/>
    <n v="19"/>
    <n v="4.75"/>
    <n v="12"/>
    <n v="7.583333333333333"/>
    <n v="22.105263157894736"/>
    <n v="0"/>
    <n v="4.75"/>
    <n v="0"/>
    <n v="0"/>
    <n v="0"/>
    <n v="1"/>
    <n v="0"/>
    <x v="3"/>
  </r>
  <r>
    <x v="22"/>
    <x v="0"/>
    <x v="9"/>
    <s v="Outerwear"/>
    <s v="Black"/>
    <s v="Seasonal"/>
    <n v="59.99"/>
    <n v="148"/>
    <n v="65"/>
    <n v="83"/>
    <n v="0.4391891891891892"/>
    <n v="15"/>
    <n v="3.75"/>
    <n v="12"/>
    <n v="5.416666666666667"/>
    <n v="22.133333333333333"/>
    <n v="0"/>
    <n v="3.75"/>
    <n v="0"/>
    <n v="0"/>
    <n v="0"/>
    <n v="1"/>
    <n v="0"/>
    <x v="3"/>
  </r>
  <r>
    <x v="22"/>
    <x v="1"/>
    <x v="9"/>
    <s v="Outerwear"/>
    <s v="Black"/>
    <s v="Seasonal"/>
    <n v="59.99"/>
    <n v="211"/>
    <n v="95"/>
    <n v="116"/>
    <n v="0.45023696682464454"/>
    <n v="20"/>
    <n v="5"/>
    <n v="12"/>
    <n v="7.916666666666667"/>
    <n v="23.2"/>
    <n v="0"/>
    <n v="5"/>
    <n v="0"/>
    <n v="0"/>
    <n v="0"/>
    <n v="1"/>
    <n v="0"/>
    <x v="3"/>
  </r>
  <r>
    <x v="22"/>
    <x v="2"/>
    <x v="9"/>
    <s v="Outerwear"/>
    <s v="Black"/>
    <s v="Seasonal"/>
    <n v="59.99"/>
    <n v="135"/>
    <n v="57"/>
    <n v="78"/>
    <n v="0.42222222222222222"/>
    <n v="12"/>
    <n v="3"/>
    <n v="12"/>
    <n v="4.75"/>
    <n v="26"/>
    <n v="0"/>
    <n v="3"/>
    <n v="0"/>
    <n v="0"/>
    <n v="0"/>
    <n v="1"/>
    <n v="0"/>
    <x v="3"/>
  </r>
  <r>
    <x v="22"/>
    <x v="3"/>
    <x v="9"/>
    <s v="Outerwear"/>
    <s v="Black"/>
    <s v="Seasonal"/>
    <n v="59.99"/>
    <n v="163"/>
    <n v="82"/>
    <n v="81"/>
    <n v="0.50306748466257667"/>
    <n v="16"/>
    <n v="4"/>
    <n v="12"/>
    <n v="6.833333333333333"/>
    <n v="20.25"/>
    <n v="0"/>
    <n v="4"/>
    <n v="0"/>
    <n v="0"/>
    <n v="0"/>
    <n v="1"/>
    <n v="0"/>
    <x v="3"/>
  </r>
  <r>
    <x v="23"/>
    <x v="0"/>
    <x v="9"/>
    <s v="Outerwear"/>
    <s v="Ivory"/>
    <s v="Seasonal"/>
    <n v="59.99"/>
    <n v="222"/>
    <n v="110"/>
    <n v="112"/>
    <n v="0.49549549549549549"/>
    <n v="22"/>
    <n v="5.5"/>
    <n v="12"/>
    <n v="9.1666666666666661"/>
    <n v="20.363636363636363"/>
    <n v="0"/>
    <n v="5.5"/>
    <n v="0"/>
    <n v="0"/>
    <n v="0"/>
    <n v="1"/>
    <n v="0"/>
    <x v="3"/>
  </r>
  <r>
    <x v="23"/>
    <x v="1"/>
    <x v="9"/>
    <s v="Outerwear"/>
    <s v="Ivory"/>
    <s v="Seasonal"/>
    <n v="59.99"/>
    <n v="280"/>
    <n v="129"/>
    <n v="151"/>
    <n v="0.46071428571428569"/>
    <n v="25"/>
    <n v="6.25"/>
    <n v="12"/>
    <n v="10.75"/>
    <n v="24.16"/>
    <n v="0"/>
    <n v="6.25"/>
    <n v="0"/>
    <n v="0"/>
    <n v="0"/>
    <n v="1"/>
    <n v="0"/>
    <x v="3"/>
  </r>
  <r>
    <x v="23"/>
    <x v="2"/>
    <x v="9"/>
    <s v="Outerwear"/>
    <s v="Ivory"/>
    <s v="Seasonal"/>
    <n v="59.99"/>
    <n v="189"/>
    <n v="83"/>
    <n v="106"/>
    <n v="0.43915343915343913"/>
    <n v="18"/>
    <n v="4.5"/>
    <n v="12"/>
    <n v="6.916666666666667"/>
    <n v="23.555555555555557"/>
    <n v="0"/>
    <n v="4.5"/>
    <n v="0"/>
    <n v="0"/>
    <n v="0"/>
    <n v="1"/>
    <n v="0"/>
    <x v="3"/>
  </r>
  <r>
    <x v="23"/>
    <x v="3"/>
    <x v="9"/>
    <s v="Outerwear"/>
    <s v="Ivory"/>
    <s v="Seasonal"/>
    <n v="59.99"/>
    <n v="265"/>
    <n v="117"/>
    <n v="148"/>
    <n v="0.44150943396226416"/>
    <n v="24"/>
    <n v="6"/>
    <n v="12"/>
    <n v="9.75"/>
    <n v="24.666666666666668"/>
    <n v="0"/>
    <n v="6"/>
    <n v="0"/>
    <n v="0"/>
    <n v="0"/>
    <n v="1"/>
    <n v="0"/>
    <x v="3"/>
  </r>
  <r>
    <x v="24"/>
    <x v="0"/>
    <x v="9"/>
    <s v="Outerwear"/>
    <s v="Check"/>
    <s v="Seasonal"/>
    <n v="59.99"/>
    <n v="230"/>
    <n v="106"/>
    <n v="124"/>
    <n v="0.46086956521739131"/>
    <n v="25"/>
    <n v="6.25"/>
    <n v="12"/>
    <n v="8.8333333333333339"/>
    <n v="19.84"/>
    <n v="0"/>
    <n v="6.25"/>
    <n v="0"/>
    <n v="0"/>
    <n v="0"/>
    <n v="1"/>
    <n v="0"/>
    <x v="3"/>
  </r>
  <r>
    <x v="24"/>
    <x v="1"/>
    <x v="9"/>
    <s v="Outerwear"/>
    <s v="Check"/>
    <s v="Seasonal"/>
    <n v="59.99"/>
    <n v="305"/>
    <n v="134"/>
    <n v="171"/>
    <n v="0.43934426229508194"/>
    <n v="29"/>
    <n v="7.25"/>
    <n v="12"/>
    <n v="11.166666666666666"/>
    <n v="23.586206896551722"/>
    <n v="0"/>
    <n v="7.25"/>
    <n v="0"/>
    <n v="0"/>
    <n v="0"/>
    <n v="1"/>
    <n v="0"/>
    <x v="3"/>
  </r>
  <r>
    <x v="24"/>
    <x v="2"/>
    <x v="9"/>
    <s v="Outerwear"/>
    <s v="Check"/>
    <s v="Seasonal"/>
    <n v="59.99"/>
    <n v="165"/>
    <n v="86"/>
    <n v="79"/>
    <n v="0.52121212121212124"/>
    <n v="16"/>
    <n v="4"/>
    <n v="12"/>
    <n v="7.166666666666667"/>
    <n v="19.75"/>
    <n v="0"/>
    <n v="4"/>
    <n v="0"/>
    <n v="0"/>
    <n v="0"/>
    <n v="1"/>
    <n v="0"/>
    <x v="3"/>
  </r>
  <r>
    <x v="24"/>
    <x v="3"/>
    <x v="9"/>
    <s v="Outerwear"/>
    <s v="Check"/>
    <s v="Seasonal"/>
    <n v="59.99"/>
    <n v="268"/>
    <n v="117"/>
    <n v="151"/>
    <n v="0.43656716417910446"/>
    <n v="23"/>
    <n v="5.75"/>
    <n v="12"/>
    <n v="9.75"/>
    <n v="26.260869565217391"/>
    <n v="0"/>
    <n v="5.75"/>
    <n v="0"/>
    <n v="0"/>
    <n v="0"/>
    <n v="1"/>
    <n v="0"/>
    <x v="3"/>
  </r>
  <r>
    <x v="25"/>
    <x v="0"/>
    <x v="10"/>
    <s v="Trousers"/>
    <s v="Ecru"/>
    <s v="Seasonal"/>
    <n v="41.99"/>
    <n v="151"/>
    <n v="115"/>
    <n v="36"/>
    <n v="0.76158940397350994"/>
    <n v="35"/>
    <n v="8.75"/>
    <n v="12"/>
    <n v="9.5833333333333339"/>
    <n v="4.1142857142857139"/>
    <n v="0"/>
    <n v="8.75"/>
    <n v="0"/>
    <n v="0"/>
    <n v="0"/>
    <n v="0"/>
    <n v="0"/>
    <x v="2"/>
  </r>
  <r>
    <x v="25"/>
    <x v="1"/>
    <x v="10"/>
    <s v="Trousers"/>
    <s v="Ecru"/>
    <s v="Seasonal"/>
    <n v="41.99"/>
    <n v="191"/>
    <n v="155"/>
    <n v="36"/>
    <n v="0.81151832460732987"/>
    <n v="49"/>
    <n v="12.25"/>
    <n v="12"/>
    <n v="12.916666666666666"/>
    <n v="2.9387755102040818"/>
    <n v="0"/>
    <n v="12.25"/>
    <n v="0"/>
    <n v="0"/>
    <n v="1"/>
    <n v="0"/>
    <n v="38"/>
    <x v="1"/>
  </r>
  <r>
    <x v="25"/>
    <x v="2"/>
    <x v="10"/>
    <s v="Trousers"/>
    <s v="Ecru"/>
    <s v="Seasonal"/>
    <n v="41.99"/>
    <n v="115"/>
    <n v="85"/>
    <n v="30"/>
    <n v="0.73913043478260865"/>
    <n v="30"/>
    <n v="7.5"/>
    <n v="12"/>
    <n v="7.083333333333333"/>
    <n v="4"/>
    <n v="0"/>
    <n v="7.5"/>
    <n v="0"/>
    <n v="0"/>
    <n v="0"/>
    <n v="0"/>
    <n v="0"/>
    <x v="2"/>
  </r>
  <r>
    <x v="25"/>
    <x v="3"/>
    <x v="10"/>
    <s v="Trousers"/>
    <s v="Ecru"/>
    <s v="Seasonal"/>
    <n v="41.99"/>
    <n v="179"/>
    <n v="125"/>
    <n v="54"/>
    <n v="0.6983240223463687"/>
    <n v="41"/>
    <n v="10.25"/>
    <n v="12"/>
    <n v="10.416666666666666"/>
    <n v="5.2682926829268295"/>
    <n v="0"/>
    <n v="10.25"/>
    <n v="0"/>
    <n v="0"/>
    <n v="0"/>
    <n v="0"/>
    <n v="0"/>
    <x v="2"/>
  </r>
  <r>
    <x v="26"/>
    <x v="0"/>
    <x v="10"/>
    <s v="Trousers"/>
    <s v="Black"/>
    <s v="Seasonal"/>
    <n v="41.99"/>
    <n v="131"/>
    <n v="87"/>
    <n v="44"/>
    <n v="0.66412213740458015"/>
    <n v="31"/>
    <n v="7.75"/>
    <n v="12"/>
    <n v="7.25"/>
    <n v="5.67741935483871"/>
    <n v="0"/>
    <n v="7.75"/>
    <n v="0"/>
    <n v="0"/>
    <n v="0"/>
    <n v="0"/>
    <n v="0"/>
    <x v="2"/>
  </r>
  <r>
    <x v="26"/>
    <x v="1"/>
    <x v="10"/>
    <s v="Trousers"/>
    <s v="Black"/>
    <s v="Seasonal"/>
    <n v="41.99"/>
    <n v="184"/>
    <n v="123"/>
    <n v="61"/>
    <n v="0.66847826086956519"/>
    <n v="39"/>
    <n v="9.75"/>
    <n v="12"/>
    <n v="10.25"/>
    <n v="6.2564102564102564"/>
    <n v="0"/>
    <n v="9.75"/>
    <n v="0"/>
    <n v="0"/>
    <n v="0"/>
    <n v="0"/>
    <n v="0"/>
    <x v="2"/>
  </r>
  <r>
    <x v="26"/>
    <x v="2"/>
    <x v="10"/>
    <s v="Trousers"/>
    <s v="Black"/>
    <s v="Seasonal"/>
    <n v="41.99"/>
    <n v="108"/>
    <n v="80"/>
    <n v="28"/>
    <n v="0.7407407407407407"/>
    <n v="27"/>
    <n v="6.75"/>
    <n v="12"/>
    <n v="6.666666666666667"/>
    <n v="4.1481481481481479"/>
    <n v="0"/>
    <n v="6.75"/>
    <n v="0"/>
    <n v="0"/>
    <n v="0"/>
    <n v="0"/>
    <n v="0"/>
    <x v="2"/>
  </r>
  <r>
    <x v="26"/>
    <x v="3"/>
    <x v="10"/>
    <s v="Trousers"/>
    <s v="Black"/>
    <s v="Seasonal"/>
    <n v="41.99"/>
    <n v="131"/>
    <n v="104"/>
    <n v="27"/>
    <n v="0.79389312977099236"/>
    <n v="34"/>
    <n v="8.5"/>
    <n v="12"/>
    <n v="8.6666666666666661"/>
    <n v="3.1764705882352939"/>
    <n v="0"/>
    <n v="8.5"/>
    <n v="0"/>
    <n v="0"/>
    <n v="0"/>
    <n v="0"/>
    <n v="0"/>
    <x v="2"/>
  </r>
  <r>
    <x v="27"/>
    <x v="0"/>
    <x v="10"/>
    <s v="Trousers"/>
    <s v="Olive"/>
    <s v="Seasonal"/>
    <n v="41.99"/>
    <n v="128"/>
    <n v="80"/>
    <n v="48"/>
    <n v="0.625"/>
    <n v="27"/>
    <n v="6.75"/>
    <n v="12"/>
    <n v="6.666666666666667"/>
    <n v="7.1111111111111107"/>
    <n v="0"/>
    <n v="6.75"/>
    <n v="0"/>
    <n v="0"/>
    <n v="0"/>
    <n v="0"/>
    <n v="0"/>
    <x v="2"/>
  </r>
  <r>
    <x v="27"/>
    <x v="1"/>
    <x v="10"/>
    <s v="Trousers"/>
    <s v="Olive"/>
    <s v="Seasonal"/>
    <n v="41.99"/>
    <n v="171"/>
    <n v="123"/>
    <n v="48"/>
    <n v="0.7192982456140351"/>
    <n v="46"/>
    <n v="11.5"/>
    <n v="12"/>
    <n v="10.25"/>
    <n v="4.1739130434782608"/>
    <n v="0"/>
    <n v="11.5"/>
    <n v="0"/>
    <n v="0"/>
    <n v="0"/>
    <n v="0"/>
    <n v="0"/>
    <x v="2"/>
  </r>
  <r>
    <x v="27"/>
    <x v="2"/>
    <x v="10"/>
    <s v="Trousers"/>
    <s v="Olive"/>
    <s v="Seasonal"/>
    <n v="41.99"/>
    <n v="115"/>
    <n v="79"/>
    <n v="36"/>
    <n v="0.68695652173913047"/>
    <n v="26"/>
    <n v="6.5"/>
    <n v="12"/>
    <n v="6.583333333333333"/>
    <n v="5.5384615384615383"/>
    <n v="0"/>
    <n v="6.5"/>
    <n v="0"/>
    <n v="0"/>
    <n v="0"/>
    <n v="0"/>
    <n v="0"/>
    <x v="2"/>
  </r>
  <r>
    <x v="27"/>
    <x v="3"/>
    <x v="10"/>
    <s v="Trousers"/>
    <s v="Olive"/>
    <s v="Seasonal"/>
    <n v="41.99"/>
    <n v="139"/>
    <n v="102"/>
    <n v="37"/>
    <n v="0.73381294964028776"/>
    <n v="36"/>
    <n v="9"/>
    <n v="12"/>
    <n v="8.5"/>
    <n v="4.1111111111111107"/>
    <n v="0"/>
    <n v="9"/>
    <n v="0"/>
    <n v="0"/>
    <n v="0"/>
    <n v="0"/>
    <n v="0"/>
    <x v="2"/>
  </r>
  <r>
    <x v="28"/>
    <x v="0"/>
    <x v="11"/>
    <s v="Outerwear"/>
    <s v="Stone"/>
    <s v="Seasonal"/>
    <n v="79.989999999999995"/>
    <n v="116"/>
    <n v="86"/>
    <n v="30"/>
    <n v="0.74137931034482762"/>
    <n v="27"/>
    <n v="6.75"/>
    <n v="12"/>
    <n v="7.166666666666667"/>
    <n v="4.4444444444444446"/>
    <n v="0"/>
    <n v="6.75"/>
    <n v="0"/>
    <n v="0"/>
    <n v="0"/>
    <n v="0"/>
    <n v="0"/>
    <x v="2"/>
  </r>
  <r>
    <x v="28"/>
    <x v="1"/>
    <x v="11"/>
    <s v="Outerwear"/>
    <s v="Stone"/>
    <s v="Seasonal"/>
    <n v="79.989999999999995"/>
    <n v="156"/>
    <n v="122"/>
    <n v="34"/>
    <n v="0.78205128205128205"/>
    <n v="40"/>
    <n v="10"/>
    <n v="12"/>
    <n v="10.166666666666666"/>
    <n v="3.4"/>
    <n v="0"/>
    <n v="10"/>
    <n v="0"/>
    <n v="0"/>
    <n v="0"/>
    <n v="0"/>
    <n v="0"/>
    <x v="2"/>
  </r>
  <r>
    <x v="28"/>
    <x v="2"/>
    <x v="11"/>
    <s v="Outerwear"/>
    <s v="Stone"/>
    <s v="Seasonal"/>
    <n v="79.989999999999995"/>
    <n v="102"/>
    <n v="69"/>
    <n v="33"/>
    <n v="0.67647058823529416"/>
    <n v="23"/>
    <n v="5.75"/>
    <n v="12"/>
    <n v="5.75"/>
    <n v="5.7391304347826084"/>
    <n v="0"/>
    <n v="5.75"/>
    <n v="0"/>
    <n v="0"/>
    <n v="0"/>
    <n v="0"/>
    <n v="0"/>
    <x v="2"/>
  </r>
  <r>
    <x v="28"/>
    <x v="3"/>
    <x v="11"/>
    <s v="Outerwear"/>
    <s v="Stone"/>
    <s v="Seasonal"/>
    <n v="79.989999999999995"/>
    <n v="146"/>
    <n v="106"/>
    <n v="40"/>
    <n v="0.72602739726027399"/>
    <n v="37"/>
    <n v="9.25"/>
    <n v="12"/>
    <n v="8.8333333333333339"/>
    <n v="4.3243243243243246"/>
    <n v="0"/>
    <n v="9.25"/>
    <n v="0"/>
    <n v="0"/>
    <n v="0"/>
    <n v="0"/>
    <n v="0"/>
    <x v="2"/>
  </r>
  <r>
    <x v="29"/>
    <x v="0"/>
    <x v="11"/>
    <s v="Outerwear"/>
    <s v="Khaki"/>
    <s v="Seasonal"/>
    <n v="79.989999999999995"/>
    <n v="113"/>
    <n v="88"/>
    <n v="25"/>
    <n v="0.77876106194690264"/>
    <n v="30"/>
    <n v="7.5"/>
    <n v="12"/>
    <n v="7.333333333333333"/>
    <n v="3.3333333333333335"/>
    <n v="0"/>
    <n v="7.5"/>
    <n v="0"/>
    <n v="0"/>
    <n v="0"/>
    <n v="0"/>
    <n v="0"/>
    <x v="2"/>
  </r>
  <r>
    <x v="29"/>
    <x v="1"/>
    <x v="11"/>
    <s v="Outerwear"/>
    <s v="Khaki"/>
    <s v="Seasonal"/>
    <n v="79.989999999999995"/>
    <n v="149"/>
    <n v="111"/>
    <n v="38"/>
    <n v="0.74496644295302017"/>
    <n v="35"/>
    <n v="8.75"/>
    <n v="12"/>
    <n v="9.25"/>
    <n v="4.3428571428571425"/>
    <n v="0"/>
    <n v="8.75"/>
    <n v="0"/>
    <n v="0"/>
    <n v="0"/>
    <n v="0"/>
    <n v="0"/>
    <x v="2"/>
  </r>
  <r>
    <x v="29"/>
    <x v="2"/>
    <x v="11"/>
    <s v="Outerwear"/>
    <s v="Khaki"/>
    <s v="Seasonal"/>
    <n v="79.989999999999995"/>
    <n v="99"/>
    <n v="73"/>
    <n v="26"/>
    <n v="0.73737373737373735"/>
    <n v="27"/>
    <n v="6.75"/>
    <n v="12"/>
    <n v="6.083333333333333"/>
    <n v="3.8518518518518516"/>
    <n v="0"/>
    <n v="6.75"/>
    <n v="0"/>
    <n v="0"/>
    <n v="0"/>
    <n v="0"/>
    <n v="0"/>
    <x v="2"/>
  </r>
  <r>
    <x v="29"/>
    <x v="3"/>
    <x v="11"/>
    <s v="Outerwear"/>
    <s v="Khaki"/>
    <s v="Seasonal"/>
    <n v="79.989999999999995"/>
    <n v="136"/>
    <n v="99"/>
    <n v="37"/>
    <n v="0.7279411764705882"/>
    <n v="33"/>
    <n v="8.25"/>
    <n v="12"/>
    <n v="8.25"/>
    <n v="4.4848484848484844"/>
    <n v="0"/>
    <n v="8.25"/>
    <n v="0"/>
    <n v="0"/>
    <n v="0"/>
    <n v="0"/>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814D53-09AF-427F-9E99-BCDE009D3108}" name="PivotTable1" cacheId="6"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3:G124" firstHeaderRow="0" firstDataRow="1" firstDataCol="3" rowPageCount="1" colPageCount="1"/>
  <pivotFields count="24">
    <pivotField axis="axisRow" compact="0" outline="0" showAll="0" defaultSubtotal="0">
      <items count="30">
        <item x="0"/>
        <item x="2"/>
        <item x="1"/>
        <item x="3"/>
        <item x="5"/>
        <item x="4"/>
        <item x="6"/>
        <item x="7"/>
        <item x="8"/>
        <item x="9"/>
        <item x="10"/>
        <item x="11"/>
        <item x="12"/>
        <item x="15"/>
        <item x="13"/>
        <item x="14"/>
        <item x="17"/>
        <item x="16"/>
        <item x="19"/>
        <item x="18"/>
        <item x="20"/>
        <item x="21"/>
        <item x="22"/>
        <item x="24"/>
        <item x="23"/>
        <item x="26"/>
        <item x="25"/>
        <item x="27"/>
        <item x="29"/>
        <item x="28"/>
      </items>
      <extLst>
        <ext xmlns:x14="http://schemas.microsoft.com/office/spreadsheetml/2009/9/main" uri="{2946ED86-A175-432a-8AC1-64E0C546D7DE}">
          <x14:pivotField fillDownLabels="1"/>
        </ext>
      </extLst>
    </pivotField>
    <pivotField axis="axisRow" compact="0" outline="0" showAll="0" defaultSubtotal="0">
      <items count="4">
        <item x="1"/>
        <item x="2"/>
        <item x="3"/>
        <item x="0"/>
      </items>
      <extLst>
        <ext xmlns:x14="http://schemas.microsoft.com/office/spreadsheetml/2009/9/main" uri="{2946ED86-A175-432a-8AC1-64E0C546D7DE}">
          <x14:pivotField fillDownLabels="1"/>
        </ext>
      </extLst>
    </pivotField>
    <pivotField axis="axisRow" compact="0" outline="0" showAll="0" defaultSubtotal="0">
      <items count="12">
        <item x="11"/>
        <item x="7"/>
        <item x="9"/>
        <item x="1"/>
        <item x="4"/>
        <item x="8"/>
        <item x="6"/>
        <item x="0"/>
        <item x="3"/>
        <item x="5"/>
        <item x="2"/>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axis="axisPage" compact="0" outline="0" showAll="0" defaultSubtotal="0">
      <items count="4">
        <item x="2"/>
        <item x="3"/>
        <item x="0"/>
        <item x="1"/>
      </items>
      <extLst>
        <ext xmlns:x14="http://schemas.microsoft.com/office/spreadsheetml/2009/9/main" uri="{2946ED86-A175-432a-8AC1-64E0C546D7DE}">
          <x14:pivotField fillDownLabels="1"/>
        </ext>
      </extLst>
    </pivotField>
  </pivotFields>
  <rowFields count="3">
    <field x="0"/>
    <field x="2"/>
    <field x="1"/>
  </rowFields>
  <rowItems count="121">
    <i>
      <x/>
      <x v="7"/>
      <x/>
    </i>
    <i r="2">
      <x v="1"/>
    </i>
    <i r="2">
      <x v="2"/>
    </i>
    <i r="2">
      <x v="3"/>
    </i>
    <i>
      <x v="1"/>
      <x v="7"/>
      <x/>
    </i>
    <i r="2">
      <x v="1"/>
    </i>
    <i r="2">
      <x v="2"/>
    </i>
    <i r="2">
      <x v="3"/>
    </i>
    <i>
      <x v="2"/>
      <x v="7"/>
      <x/>
    </i>
    <i r="2">
      <x v="1"/>
    </i>
    <i r="2">
      <x v="2"/>
    </i>
    <i r="2">
      <x v="3"/>
    </i>
    <i>
      <x v="3"/>
      <x v="3"/>
      <x/>
    </i>
    <i r="2">
      <x v="1"/>
    </i>
    <i r="2">
      <x v="2"/>
    </i>
    <i r="2">
      <x v="3"/>
    </i>
    <i>
      <x v="4"/>
      <x v="3"/>
      <x/>
    </i>
    <i r="2">
      <x v="1"/>
    </i>
    <i r="2">
      <x v="2"/>
    </i>
    <i r="2">
      <x v="3"/>
    </i>
    <i>
      <x v="5"/>
      <x v="3"/>
      <x/>
    </i>
    <i r="2">
      <x v="1"/>
    </i>
    <i r="2">
      <x v="2"/>
    </i>
    <i r="2">
      <x v="3"/>
    </i>
    <i>
      <x v="6"/>
      <x v="10"/>
      <x/>
    </i>
    <i r="2">
      <x v="1"/>
    </i>
    <i r="2">
      <x v="2"/>
    </i>
    <i r="2">
      <x v="3"/>
    </i>
    <i>
      <x v="7"/>
      <x v="10"/>
      <x/>
    </i>
    <i r="2">
      <x v="1"/>
    </i>
    <i r="2">
      <x v="2"/>
    </i>
    <i r="2">
      <x v="3"/>
    </i>
    <i>
      <x v="8"/>
      <x v="8"/>
      <x/>
    </i>
    <i r="2">
      <x v="1"/>
    </i>
    <i r="2">
      <x v="2"/>
    </i>
    <i r="2">
      <x v="3"/>
    </i>
    <i>
      <x v="9"/>
      <x v="8"/>
      <x/>
    </i>
    <i r="2">
      <x v="1"/>
    </i>
    <i r="2">
      <x v="2"/>
    </i>
    <i r="2">
      <x v="3"/>
    </i>
    <i>
      <x v="10"/>
      <x v="8"/>
      <x/>
    </i>
    <i r="2">
      <x v="1"/>
    </i>
    <i r="2">
      <x v="2"/>
    </i>
    <i r="2">
      <x v="3"/>
    </i>
    <i>
      <x v="11"/>
      <x v="4"/>
      <x/>
    </i>
    <i r="2">
      <x v="1"/>
    </i>
    <i r="2">
      <x v="2"/>
    </i>
    <i r="2">
      <x v="3"/>
    </i>
    <i>
      <x v="12"/>
      <x v="4"/>
      <x/>
    </i>
    <i r="2">
      <x v="1"/>
    </i>
    <i r="2">
      <x v="2"/>
    </i>
    <i r="2">
      <x v="3"/>
    </i>
    <i>
      <x v="13"/>
      <x v="9"/>
      <x/>
    </i>
    <i r="2">
      <x v="1"/>
    </i>
    <i r="2">
      <x v="2"/>
    </i>
    <i r="2">
      <x v="3"/>
    </i>
    <i>
      <x v="14"/>
      <x v="9"/>
      <x/>
    </i>
    <i r="2">
      <x v="1"/>
    </i>
    <i r="2">
      <x v="2"/>
    </i>
    <i r="2">
      <x v="3"/>
    </i>
    <i>
      <x v="15"/>
      <x v="9"/>
      <x/>
    </i>
    <i r="2">
      <x v="1"/>
    </i>
    <i r="2">
      <x v="2"/>
    </i>
    <i r="2">
      <x v="3"/>
    </i>
    <i>
      <x v="16"/>
      <x v="6"/>
      <x/>
    </i>
    <i r="2">
      <x v="1"/>
    </i>
    <i r="2">
      <x v="2"/>
    </i>
    <i r="2">
      <x v="3"/>
    </i>
    <i>
      <x v="17"/>
      <x v="6"/>
      <x/>
    </i>
    <i r="2">
      <x v="1"/>
    </i>
    <i r="2">
      <x v="2"/>
    </i>
    <i r="2">
      <x v="3"/>
    </i>
    <i>
      <x v="18"/>
      <x v="1"/>
      <x/>
    </i>
    <i r="2">
      <x v="1"/>
    </i>
    <i r="2">
      <x v="2"/>
    </i>
    <i r="2">
      <x v="3"/>
    </i>
    <i>
      <x v="19"/>
      <x v="1"/>
      <x/>
    </i>
    <i r="2">
      <x v="1"/>
    </i>
    <i r="2">
      <x v="2"/>
    </i>
    <i r="2">
      <x v="3"/>
    </i>
    <i>
      <x v="20"/>
      <x v="5"/>
      <x/>
    </i>
    <i r="2">
      <x v="1"/>
    </i>
    <i r="2">
      <x v="2"/>
    </i>
    <i r="2">
      <x v="3"/>
    </i>
    <i>
      <x v="21"/>
      <x v="5"/>
      <x/>
    </i>
    <i r="2">
      <x v="1"/>
    </i>
    <i r="2">
      <x v="2"/>
    </i>
    <i r="2">
      <x v="3"/>
    </i>
    <i>
      <x v="22"/>
      <x v="2"/>
      <x/>
    </i>
    <i r="2">
      <x v="1"/>
    </i>
    <i r="2">
      <x v="2"/>
    </i>
    <i r="2">
      <x v="3"/>
    </i>
    <i>
      <x v="23"/>
      <x v="2"/>
      <x/>
    </i>
    <i r="2">
      <x v="1"/>
    </i>
    <i r="2">
      <x v="2"/>
    </i>
    <i r="2">
      <x v="3"/>
    </i>
    <i>
      <x v="24"/>
      <x v="2"/>
      <x/>
    </i>
    <i r="2">
      <x v="1"/>
    </i>
    <i r="2">
      <x v="2"/>
    </i>
    <i r="2">
      <x v="3"/>
    </i>
    <i>
      <x v="25"/>
      <x v="11"/>
      <x/>
    </i>
    <i r="2">
      <x v="1"/>
    </i>
    <i r="2">
      <x v="2"/>
    </i>
    <i r="2">
      <x v="3"/>
    </i>
    <i>
      <x v="26"/>
      <x v="11"/>
      <x/>
    </i>
    <i r="2">
      <x v="1"/>
    </i>
    <i r="2">
      <x v="2"/>
    </i>
    <i r="2">
      <x v="3"/>
    </i>
    <i>
      <x v="27"/>
      <x v="11"/>
      <x/>
    </i>
    <i r="2">
      <x v="1"/>
    </i>
    <i r="2">
      <x v="2"/>
    </i>
    <i r="2">
      <x v="3"/>
    </i>
    <i>
      <x v="28"/>
      <x/>
      <x/>
    </i>
    <i r="2">
      <x v="1"/>
    </i>
    <i r="2">
      <x v="2"/>
    </i>
    <i r="2">
      <x v="3"/>
    </i>
    <i>
      <x v="29"/>
      <x/>
      <x/>
    </i>
    <i r="2">
      <x v="1"/>
    </i>
    <i r="2">
      <x v="2"/>
    </i>
    <i r="2">
      <x v="3"/>
    </i>
    <i t="grand">
      <x/>
    </i>
  </rowItems>
  <colFields count="1">
    <field x="-2"/>
  </colFields>
  <colItems count="4">
    <i>
      <x/>
    </i>
    <i i="1">
      <x v="1"/>
    </i>
    <i i="2">
      <x v="2"/>
    </i>
    <i i="3">
      <x v="3"/>
    </i>
  </colItems>
  <pageFields count="1">
    <pageField fld="23" hier="-1"/>
  </pageFields>
  <dataFields count="4">
    <dataField name="Average of Sell-Through %" fld="10" subtotal="average" baseField="0" baseItem="0" numFmtId="165"/>
    <dataField name="Average of Weeks of Cover" fld="15" subtotal="average" baseField="0" baseItem="0" numFmtId="166"/>
    <dataField name="Sum of Ending Stock" fld="9" baseField="0" baseItem="0" numFmtId="3"/>
    <dataField name="Sum of Reorder Qty" fld="22"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ommended_Action" xr10:uid="{05BF8347-B224-4583-9CCE-8E6987B68CBD}" sourceName="Recommended Action">
  <pivotTables>
    <pivotTable tabId="7" name="PivotTable1"/>
  </pivotTables>
  <data>
    <tabular pivotCacheId="105801269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commended Action" xr10:uid="{E17AF425-8E49-4A13-B526-AA23C8566998}" cache="Slicer_Recommended_Action" caption="Recommended Ac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67429C-F7B7-4D82-999C-DF3A88097D2E}" name="Table1" displayName="Table1" ref="A1:X121" totalsRowShown="0" headerRowDxfId="0" headerRowBorderDxfId="26" tableBorderDxfId="27" totalsRowBorderDxfId="25">
  <autoFilter ref="A1:X121" xr:uid="{00000000-0009-0000-0000-000005000000}"/>
  <tableColumns count="24">
    <tableColumn id="1" xr3:uid="{19111B85-15CF-485D-A903-119D4E01DA55}" name="SKU" dataDxfId="24"/>
    <tableColumn id="2" xr3:uid="{D9C7769A-5C90-4175-84CC-45783BB49E7C}" name="Channel" dataDxfId="23"/>
    <tableColumn id="3" xr3:uid="{DF051286-81D3-4203-A819-3498FA99FEAE}" name="Style" dataDxfId="22">
      <calculatedColumnFormula>INDEX(Dim_Product!$B:B, MATCH($A2,Dim_Product!$A:$A,0))</calculatedColumnFormula>
    </tableColumn>
    <tableColumn id="4" xr3:uid="{2BC2B34D-C204-415A-BD87-DD2146D35634}" name="Category" dataDxfId="21">
      <calculatedColumnFormula>INDEX(Dim_Product!$D:D, MATCH($A2,Dim_Product!$A:$A,0))</calculatedColumnFormula>
    </tableColumn>
    <tableColumn id="5" xr3:uid="{82FF3BE3-1569-497F-A42C-32D31B20FFFB}" name="Colour" dataDxfId="20">
      <calculatedColumnFormula>INDEX(Dim_Product!$E:E, MATCH($A2,Dim_Product!$A:$A,0))</calculatedColumnFormula>
    </tableColumn>
    <tableColumn id="6" xr3:uid="{7770321D-4B8F-4C09-94C5-BBB9D598E341}" name="NOOS" dataDxfId="19">
      <calculatedColumnFormula>INDEX(Dim_Product!$F:F, MATCH($A2,Dim_Product!$A:$A,0))</calculatedColumnFormula>
    </tableColumn>
    <tableColumn id="7" xr3:uid="{BB7F2069-A80D-471A-A70A-1B6A6CDBD285}" name="List Price" dataDxfId="18">
      <calculatedColumnFormula>INDEX(Dim_Product!$G:G, MATCH($A2,Dim_Product!$A:$A,0))</calculatedColumnFormula>
    </tableColumn>
    <tableColumn id="8" xr3:uid="{C66DF994-4999-458B-BB84-84D4F882894C}" name="Units Received" dataDxfId="17">
      <calculatedColumnFormula>SUMIFS(Fact_Weekly!$D$2:$D$1500,Fact_Weekly!$B$2:$B$1500,$A2,Fact_Weekly!$C$2:$C$1500,$B2)</calculatedColumnFormula>
    </tableColumn>
    <tableColumn id="9" xr3:uid="{BAFB50A1-409B-4AAF-BE5A-47E6E02FA16A}" name="Units Sold" dataDxfId="16">
      <calculatedColumnFormula>SUMIFS(Fact_Weekly!$E$2:$E$1500,Fact_Weekly!$B$2:$B$1500,$A2,Fact_Weekly!$C$2:$C$1500,$B2)</calculatedColumnFormula>
    </tableColumn>
    <tableColumn id="10" xr3:uid="{BFC0B885-C453-4975-B7E5-848E96672529}" name="Ending Stock" dataDxfId="15">
      <calculatedColumnFormula>H2-I2</calculatedColumnFormula>
    </tableColumn>
    <tableColumn id="11" xr3:uid="{49A9B553-6B7E-46CE-9770-72B4A331027E}" name="Sell-Through %" dataDxfId="14">
      <calculatedColumnFormula>IF(H2&gt;0,I2/H2,0)</calculatedColumnFormula>
    </tableColumn>
    <tableColumn id="12" xr3:uid="{CD4FBE0E-B21A-4396-B4B3-3F75263EFEEF}" name="Recent (last 4 weeks)Sales" dataDxfId="13">
      <calculatedColumnFormula>SUMIFS(Fact_Weekly!$E$2:$E$1500,Fact_Weekly!$B$2:$B$1500,$A2,Fact_Weekly!$C$2:$C$1500,$B2,Fact_Weekly!$A$2:$A$1500,"&gt;="&amp;(Assumptions!$B$12-Assumptions!$B$11+1))</calculatedColumnFormula>
    </tableColumn>
    <tableColumn id="13" xr3:uid="{0529BE53-2EE1-4C6D-8E4E-2054C305268E}" name="Avg per Wk (recent)" dataDxfId="12">
      <calculatedColumnFormula>L2/Assumptions!$B$11</calculatedColumnFormula>
    </tableColumn>
    <tableColumn id="14" xr3:uid="{C97C4581-ADC5-4C57-A2B5-06478CAE0BFC}" name="Weeks Selling" dataDxfId="11">
      <calculatedColumnFormula>COUNTIFS(Fact_Weekly!$B$2:$B$1500,$A2,Fact_Weekly!$C$2:$C$1500,$B2,Fact_Weekly!$G$2:$G$1500,"&gt;0")</calculatedColumnFormula>
    </tableColumn>
    <tableColumn id="15" xr3:uid="{C1AA694B-8589-443C-B04A-A473C417C068}" name="Avg per Wk (live)" dataDxfId="10">
      <calculatedColumnFormula>IF(N2&gt;0,I2/N2,0)</calculatedColumnFormula>
    </tableColumn>
    <tableColumn id="16" xr3:uid="{7181E31F-EFF1-4975-BF55-CF8B85C299DB}" name="Weeks of Cover" dataDxfId="9">
      <calculatedColumnFormula>IF(M2&gt;0,J2/M2,IF(J2&gt;0,Assumptions!$B$12,0))</calculatedColumnFormula>
    </tableColumn>
    <tableColumn id="17" xr3:uid="{0A60FC14-B2B5-4252-AEE8-5CB40F82E13B}" name="Stock-out?" dataDxfId="8">
      <calculatedColumnFormula>IF(AND(N2&lt;Assumptions!$B$12,K2&gt;=0.99),1,0)</calculatedColumnFormula>
    </tableColumn>
    <tableColumn id="18" xr3:uid="{E6CBDA9B-4356-431D-89E2-AC20D81C26DD}" name="Velocity" dataDxfId="7">
      <calculatedColumnFormula>IF(Q2=1,O2,M2)</calculatedColumnFormula>
    </tableColumn>
    <tableColumn id="19" xr3:uid="{AFC4DA79-E588-4656-824F-D11B43C7BE84}" name="Missed Units (planned rate)" dataDxfId="6">
      <calculatedColumnFormula>IF(Q2=1,(Assumptions!$B$12-N2)*(H2/Assumptions!$B$12),0)</calculatedColumnFormula>
    </tableColumn>
    <tableColumn id="20" xr3:uid="{7E91843D-0A14-4B8F-9546-21C90F99B9A8}" name="Missed Rev €" dataDxfId="5">
      <calculatedColumnFormula>S2*G2</calculatedColumnFormula>
    </tableColumn>
    <tableColumn id="21" xr3:uid="{F42F3995-EEF9-4AC0-A393-E76B61C8E8CA}" name="Reorder?" dataDxfId="4">
      <calculatedColumnFormula>IF(OR(K2&gt;=Assumptions!$B$5,Q2=1,AND(F2="Core",P2&lt;Assumptions!$B$7)),1,0)</calculatedColumnFormula>
    </tableColumn>
    <tableColumn id="22" xr3:uid="{3E217840-3E1F-4DC1-BC36-F973BF5A22B6}" name="Markdown?" dataDxfId="3">
      <calculatedColumnFormula>IF(AND(F2="Seasonal",K2&lt;Assumptions!$B$6,P2&gt;Assumptions!$B$8),1,0)</calculatedColumnFormula>
    </tableColumn>
    <tableColumn id="23" xr3:uid="{F8DB5F4D-722E-4CC2-BBF9-73AC9851421A}" name="Reorder Qty" dataDxfId="2">
      <calculatedColumnFormula>IF(U2=1,ROUND(MAX(0,Assumptions!$B$9*R2-J2),0),0)</calculatedColumnFormula>
    </tableColumn>
    <tableColumn id="24" xr3:uid="{7FA71C40-0531-4CAC-AF98-6C1E34D7AB60}" name="Recommended Action" dataDxfId="1">
      <calculatedColumnFormula>IF(V2=1,"Markdown / clear",IF(AND(U2=1,Q2=1),"Reorder - recover lost sales",IF(U2=1,"Reorder / replenish","Maintain / monitor")))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E5E0985-D5DD-4414-8E6E-326753A4865A}">
  <we:reference id="wa200009404" version="1.0.0.8" store="en-GB" storeType="OMEX"/>
  <we:alternateReferences>
    <we:reference id="wa200009404" version="1.0.0.8" store="en-GB" storeType="OMEX"/>
  </we:alternateReferences>
  <we:properties>
    <we:property name="claude.fileId" value="&quot;f3a011bb-341d-4a74-8a01-c7ea28305bf8&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55"/>
  <sheetViews>
    <sheetView showGridLines="0" tabSelected="1" zoomScaleNormal="100" workbookViewId="0">
      <selection activeCell="B20" sqref="B20"/>
    </sheetView>
  </sheetViews>
  <sheetFormatPr defaultColWidth="8.6328125" defaultRowHeight="14.5" x14ac:dyDescent="0.35"/>
  <cols>
    <col min="1" max="1" width="3" customWidth="1"/>
    <col min="2" max="2" width="93.36328125" bestFit="1" customWidth="1"/>
    <col min="3" max="3" width="12" customWidth="1"/>
    <col min="4" max="4" width="46" customWidth="1"/>
    <col min="5" max="5" width="14" customWidth="1"/>
  </cols>
  <sheetData>
    <row r="1" spans="2:2" ht="23" x14ac:dyDescent="0.5">
      <c r="B1" s="7" t="s">
        <v>0</v>
      </c>
    </row>
    <row r="2" spans="2:2" x14ac:dyDescent="0.35">
      <c r="B2" s="8" t="s">
        <v>193</v>
      </c>
    </row>
    <row r="4" spans="2:2" ht="15.5" x14ac:dyDescent="0.35">
      <c r="B4" s="9" t="s">
        <v>1</v>
      </c>
    </row>
    <row r="5" spans="2:2" ht="25" x14ac:dyDescent="0.35">
      <c r="B5" s="10" t="s">
        <v>194</v>
      </c>
    </row>
    <row r="7" spans="2:2" ht="15.5" x14ac:dyDescent="0.35">
      <c r="B7" s="9" t="s">
        <v>2</v>
      </c>
    </row>
    <row r="8" spans="2:2" x14ac:dyDescent="0.35">
      <c r="B8" s="10" t="s">
        <v>195</v>
      </c>
    </row>
    <row r="9" spans="2:2" ht="25" x14ac:dyDescent="0.35">
      <c r="B9" s="10" t="s">
        <v>196</v>
      </c>
    </row>
    <row r="10" spans="2:2" ht="25" x14ac:dyDescent="0.35">
      <c r="B10" s="10" t="s">
        <v>197</v>
      </c>
    </row>
    <row r="11" spans="2:2" ht="25" x14ac:dyDescent="0.35">
      <c r="B11" s="10" t="s">
        <v>198</v>
      </c>
    </row>
    <row r="13" spans="2:2" ht="15.5" x14ac:dyDescent="0.35">
      <c r="B13" s="9" t="s">
        <v>3</v>
      </c>
    </row>
    <row r="14" spans="2:2" ht="25" x14ac:dyDescent="0.35">
      <c r="B14" s="10" t="s">
        <v>199</v>
      </c>
    </row>
    <row r="15" spans="2:2" x14ac:dyDescent="0.35">
      <c r="B15" s="10" t="s">
        <v>200</v>
      </c>
    </row>
    <row r="16" spans="2:2" x14ac:dyDescent="0.35">
      <c r="B16" s="10" t="s">
        <v>225</v>
      </c>
    </row>
    <row r="17" spans="2:2" x14ac:dyDescent="0.35">
      <c r="B17" s="10" t="s">
        <v>226</v>
      </c>
    </row>
    <row r="18" spans="2:2" x14ac:dyDescent="0.35">
      <c r="B18" s="10" t="s">
        <v>201</v>
      </c>
    </row>
    <row r="19" spans="2:2" x14ac:dyDescent="0.35">
      <c r="B19" s="10" t="s">
        <v>202</v>
      </c>
    </row>
    <row r="22" spans="2:2" ht="15.5" x14ac:dyDescent="0.35">
      <c r="B22" s="9" t="s">
        <v>4</v>
      </c>
    </row>
    <row r="23" spans="2:2" x14ac:dyDescent="0.35">
      <c r="B23" s="10" t="s">
        <v>203</v>
      </c>
    </row>
    <row r="24" spans="2:2" x14ac:dyDescent="0.35">
      <c r="B24" s="10" t="s">
        <v>204</v>
      </c>
    </row>
    <row r="25" spans="2:2" x14ac:dyDescent="0.35">
      <c r="B25" s="10" t="s">
        <v>205</v>
      </c>
    </row>
    <row r="26" spans="2:2" ht="25" x14ac:dyDescent="0.35">
      <c r="B26" s="10" t="s">
        <v>206</v>
      </c>
    </row>
    <row r="27" spans="2:2" ht="25" x14ac:dyDescent="0.35">
      <c r="B27" s="10" t="s">
        <v>207</v>
      </c>
    </row>
    <row r="28" spans="2:2" x14ac:dyDescent="0.35">
      <c r="B28" s="10" t="s">
        <v>208</v>
      </c>
    </row>
    <row r="31" spans="2:2" ht="15.5" x14ac:dyDescent="0.35">
      <c r="B31" s="9" t="s">
        <v>5</v>
      </c>
    </row>
    <row r="32" spans="2:2" ht="37.5" x14ac:dyDescent="0.35">
      <c r="B32" s="10" t="s">
        <v>209</v>
      </c>
    </row>
    <row r="34" spans="2:5" ht="15.5" x14ac:dyDescent="0.35">
      <c r="B34" s="9" t="s">
        <v>6</v>
      </c>
    </row>
    <row r="35" spans="2:5" x14ac:dyDescent="0.35">
      <c r="B35" s="11" t="s">
        <v>7</v>
      </c>
      <c r="C35" s="11" t="s">
        <v>8</v>
      </c>
      <c r="D35" s="11" t="s">
        <v>9</v>
      </c>
      <c r="E35" s="11" t="s">
        <v>10</v>
      </c>
    </row>
    <row r="36" spans="2:5" x14ac:dyDescent="0.35">
      <c r="B36" s="12" t="s">
        <v>11</v>
      </c>
      <c r="C36" s="12" t="s">
        <v>12</v>
      </c>
      <c r="D36" s="12" t="s">
        <v>13</v>
      </c>
      <c r="E36" s="12" t="s">
        <v>14</v>
      </c>
    </row>
    <row r="37" spans="2:5" x14ac:dyDescent="0.35">
      <c r="B37" s="12" t="s">
        <v>15</v>
      </c>
      <c r="C37" s="12" t="s">
        <v>16</v>
      </c>
      <c r="D37" s="12" t="s">
        <v>17</v>
      </c>
      <c r="E37" s="12" t="s">
        <v>18</v>
      </c>
    </row>
    <row r="38" spans="2:5" ht="23" x14ac:dyDescent="0.35">
      <c r="B38" s="12" t="s">
        <v>19</v>
      </c>
      <c r="C38" s="12" t="s">
        <v>20</v>
      </c>
      <c r="D38" s="12" t="s">
        <v>21</v>
      </c>
      <c r="E38" s="12" t="s">
        <v>14</v>
      </c>
    </row>
    <row r="39" spans="2:5" x14ac:dyDescent="0.35">
      <c r="B39" s="12" t="s">
        <v>22</v>
      </c>
      <c r="C39" s="12" t="s">
        <v>23</v>
      </c>
      <c r="D39" s="12" t="s">
        <v>24</v>
      </c>
      <c r="E39" s="12" t="s">
        <v>25</v>
      </c>
    </row>
    <row r="40" spans="2:5" x14ac:dyDescent="0.35">
      <c r="B40" s="12" t="s">
        <v>26</v>
      </c>
      <c r="C40" s="12" t="s">
        <v>27</v>
      </c>
      <c r="D40" s="12" t="s">
        <v>28</v>
      </c>
      <c r="E40" s="12" t="s">
        <v>29</v>
      </c>
    </row>
    <row r="41" spans="2:5" x14ac:dyDescent="0.35">
      <c r="B41" s="12" t="s">
        <v>30</v>
      </c>
      <c r="C41" s="12" t="s">
        <v>31</v>
      </c>
      <c r="D41" s="12" t="s">
        <v>32</v>
      </c>
      <c r="E41" s="12" t="s">
        <v>33</v>
      </c>
    </row>
    <row r="43" spans="2:5" ht="15.5" x14ac:dyDescent="0.35">
      <c r="B43" s="9" t="s">
        <v>34</v>
      </c>
    </row>
    <row r="44" spans="2:5" x14ac:dyDescent="0.35">
      <c r="B44" s="13" t="s">
        <v>35</v>
      </c>
    </row>
    <row r="45" spans="2:5" x14ac:dyDescent="0.35">
      <c r="B45" s="14" t="s">
        <v>36</v>
      </c>
    </row>
    <row r="46" spans="2:5" x14ac:dyDescent="0.35">
      <c r="B46" s="13" t="s">
        <v>37</v>
      </c>
    </row>
    <row r="47" spans="2:5" x14ac:dyDescent="0.35">
      <c r="B47" s="14" t="s">
        <v>38</v>
      </c>
    </row>
    <row r="48" spans="2:5" x14ac:dyDescent="0.35">
      <c r="B48" s="13" t="s">
        <v>39</v>
      </c>
    </row>
    <row r="49" spans="2:2" x14ac:dyDescent="0.35">
      <c r="B49" s="14" t="s">
        <v>40</v>
      </c>
    </row>
    <row r="50" spans="2:2" x14ac:dyDescent="0.35">
      <c r="B50" s="13" t="s">
        <v>41</v>
      </c>
    </row>
    <row r="51" spans="2:2" x14ac:dyDescent="0.35">
      <c r="B51" s="14" t="s">
        <v>42</v>
      </c>
    </row>
    <row r="52" spans="2:2" x14ac:dyDescent="0.35">
      <c r="B52" s="13" t="s">
        <v>43</v>
      </c>
    </row>
    <row r="53" spans="2:2" x14ac:dyDescent="0.35">
      <c r="B53" s="14" t="s">
        <v>44</v>
      </c>
    </row>
    <row r="55" spans="2:2" x14ac:dyDescent="0.35">
      <c r="B55" s="15" t="s">
        <v>210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8"/>
  <sheetViews>
    <sheetView showGridLines="0" zoomScale="76" zoomScaleNormal="90" workbookViewId="0">
      <selection activeCell="H15" sqref="H15"/>
    </sheetView>
  </sheetViews>
  <sheetFormatPr defaultColWidth="8.6328125" defaultRowHeight="14.5" x14ac:dyDescent="0.35"/>
  <cols>
    <col min="1" max="1" width="26.1796875" customWidth="1"/>
    <col min="2" max="4" width="13.453125" customWidth="1"/>
    <col min="5" max="5" width="17.54296875" customWidth="1"/>
    <col min="6" max="14" width="13.453125" customWidth="1"/>
    <col min="16" max="16" width="13" hidden="1" customWidth="1"/>
  </cols>
  <sheetData>
    <row r="1" spans="1:14" ht="21.5" x14ac:dyDescent="0.35">
      <c r="A1" s="6" t="s">
        <v>215</v>
      </c>
      <c r="B1" s="6"/>
      <c r="C1" s="6"/>
      <c r="D1" s="6"/>
      <c r="E1" s="6"/>
      <c r="F1" s="6"/>
      <c r="G1" s="6"/>
      <c r="H1" s="6"/>
      <c r="I1" s="6"/>
      <c r="J1" s="6"/>
      <c r="K1" s="6"/>
      <c r="L1" s="6"/>
      <c r="M1" s="6"/>
      <c r="N1" s="6"/>
    </row>
    <row r="2" spans="1:14" x14ac:dyDescent="0.35">
      <c r="A2" s="5"/>
      <c r="B2" s="5"/>
      <c r="C2" s="5"/>
      <c r="D2" s="5"/>
      <c r="E2" s="5"/>
      <c r="F2" s="5"/>
      <c r="G2" s="5"/>
      <c r="H2" s="5"/>
      <c r="I2" s="5"/>
      <c r="J2" s="5"/>
      <c r="K2" s="5"/>
      <c r="L2" s="5"/>
      <c r="M2" s="5"/>
      <c r="N2" s="5"/>
    </row>
    <row r="4" spans="1:14" ht="15" customHeight="1" x14ac:dyDescent="0.35">
      <c r="A4" s="4" t="s">
        <v>45</v>
      </c>
      <c r="B4" s="4"/>
      <c r="C4" s="4"/>
      <c r="D4" s="4" t="s">
        <v>46</v>
      </c>
      <c r="E4" s="4"/>
      <c r="F4" s="4"/>
      <c r="G4" s="4" t="s">
        <v>47</v>
      </c>
      <c r="H4" s="4"/>
      <c r="I4" s="4"/>
      <c r="J4" s="4" t="s">
        <v>216</v>
      </c>
      <c r="K4" s="4"/>
      <c r="L4" s="4"/>
    </row>
    <row r="5" spans="1:14" ht="14.5" customHeight="1" x14ac:dyDescent="0.35">
      <c r="A5" s="3">
        <f>SUM(Analysis!$I$2:$I$121)</f>
        <v>13422</v>
      </c>
      <c r="B5" s="3"/>
      <c r="C5" s="3"/>
      <c r="D5" s="2">
        <f>SUMPRODUCT(Analysis!$I$2:$I$121,Analysis!$G$2:$G$121)</f>
        <v>551396.78</v>
      </c>
      <c r="E5" s="2"/>
      <c r="F5" s="2"/>
      <c r="G5" s="1">
        <f>SUM(Analysis!$I$2:$I$121)/SUM(Analysis!$H$2:$H$121)</f>
        <v>0.77637667746413697</v>
      </c>
      <c r="H5" s="1"/>
      <c r="I5" s="1"/>
      <c r="J5" s="3">
        <f>SUM(Analysis!$Q$2:$Q$121)</f>
        <v>42</v>
      </c>
      <c r="K5" s="3"/>
      <c r="L5" s="3"/>
    </row>
    <row r="6" spans="1:14" ht="14.5" customHeight="1" x14ac:dyDescent="0.35">
      <c r="A6" s="3"/>
      <c r="B6" s="3"/>
      <c r="C6" s="3"/>
      <c r="D6" s="2"/>
      <c r="E6" s="2"/>
      <c r="F6" s="2"/>
      <c r="G6" s="1"/>
      <c r="H6" s="1"/>
      <c r="I6" s="1"/>
      <c r="J6" s="3"/>
      <c r="K6" s="3"/>
      <c r="L6" s="3"/>
    </row>
    <row r="8" spans="1:14" ht="15" customHeight="1" x14ac:dyDescent="0.35">
      <c r="A8" s="4" t="s">
        <v>217</v>
      </c>
      <c r="B8" s="4"/>
      <c r="C8" s="4"/>
      <c r="D8" s="4" t="s">
        <v>48</v>
      </c>
      <c r="E8" s="4"/>
      <c r="F8" s="4"/>
      <c r="G8" s="4" t="s">
        <v>218</v>
      </c>
      <c r="H8" s="4"/>
      <c r="I8" s="4"/>
      <c r="J8" s="4" t="s">
        <v>49</v>
      </c>
      <c r="K8" s="4"/>
      <c r="L8" s="4"/>
    </row>
    <row r="9" spans="1:14" x14ac:dyDescent="0.35">
      <c r="A9" s="3">
        <f>SUM(Analysis!$U$2:$U$121)</f>
        <v>72</v>
      </c>
      <c r="B9" s="3"/>
      <c r="C9" s="3"/>
      <c r="D9" s="3">
        <f>SUM(Analysis!$W$2:$W$121)</f>
        <v>7672</v>
      </c>
      <c r="E9" s="3"/>
      <c r="F9" s="3"/>
      <c r="G9" s="3">
        <f>SUM(Analysis!$V$2:$V$121)</f>
        <v>28</v>
      </c>
      <c r="H9" s="3"/>
      <c r="I9" s="3"/>
      <c r="J9" s="2">
        <f>SUM(Analysis!$T$2:$T$121)</f>
        <v>98288.119166666656</v>
      </c>
      <c r="K9" s="2"/>
      <c r="L9" s="2"/>
    </row>
    <row r="10" spans="1:14" x14ac:dyDescent="0.35">
      <c r="A10" s="3"/>
      <c r="B10" s="3"/>
      <c r="C10" s="3"/>
      <c r="D10" s="3"/>
      <c r="E10" s="3"/>
      <c r="F10" s="3"/>
      <c r="G10" s="3"/>
      <c r="H10" s="3"/>
      <c r="I10" s="3"/>
      <c r="J10" s="2"/>
      <c r="K10" s="2"/>
      <c r="L10" s="2"/>
    </row>
    <row r="12" spans="1:14" x14ac:dyDescent="0.35">
      <c r="A12" s="16" t="s">
        <v>50</v>
      </c>
      <c r="I12" s="16" t="s">
        <v>51</v>
      </c>
    </row>
    <row r="13" spans="1:14" ht="25.5" customHeight="1" x14ac:dyDescent="0.35">
      <c r="A13" s="11" t="s">
        <v>52</v>
      </c>
      <c r="B13" s="11" t="s">
        <v>53</v>
      </c>
      <c r="C13" s="11" t="s">
        <v>54</v>
      </c>
      <c r="D13" s="11" t="s">
        <v>55</v>
      </c>
      <c r="E13" s="11" t="s">
        <v>56</v>
      </c>
      <c r="F13" s="11" t="s">
        <v>57</v>
      </c>
      <c r="G13" s="11" t="s">
        <v>58</v>
      </c>
      <c r="I13" s="11" t="s">
        <v>59</v>
      </c>
      <c r="J13" s="11" t="s">
        <v>53</v>
      </c>
      <c r="K13" s="11" t="s">
        <v>55</v>
      </c>
      <c r="L13" s="11" t="s">
        <v>60</v>
      </c>
      <c r="M13" s="11" t="s">
        <v>61</v>
      </c>
    </row>
    <row r="14" spans="1:14" x14ac:dyDescent="0.35">
      <c r="A14" s="17" t="s">
        <v>62</v>
      </c>
      <c r="B14" s="18">
        <f>SUMIFS(Analysis!$I$2:$I$121,Analysis!$B$2:$B$121,$A14)</f>
        <v>3110</v>
      </c>
      <c r="C14" s="18">
        <f>SUMIFS(Analysis!$H$2:$H$121,Analysis!$B$2:$B$121,$A14)</f>
        <v>4043</v>
      </c>
      <c r="D14" s="19">
        <f>B14/C14</f>
        <v>0.76923076923076927</v>
      </c>
      <c r="E14" s="20">
        <f>SUMPRODUCT((Analysis!$B$2:$B$121=$A14)*Analysis!$I$2:$I$121*Analysis!$G$2:$G$121)</f>
        <v>127810.90000000002</v>
      </c>
      <c r="F14" s="18">
        <f>SUMIFS(Analysis!$W$2:$W$121,Analysis!$B$2:$B$121,$A14)</f>
        <v>1660</v>
      </c>
      <c r="G14" s="20">
        <f>SUMIFS(Analysis!$T$2:$T$121,Analysis!$B$2:$B$121,$A14)</f>
        <v>22124.671666666673</v>
      </c>
      <c r="I14" s="17" t="s">
        <v>63</v>
      </c>
      <c r="J14" s="18">
        <f>SUMIFS(Analysis!$I$2:$I$121,Analysis!$D$2:$D$121,$I14)</f>
        <v>3040</v>
      </c>
      <c r="K14" s="19">
        <f>SUMIFS(Analysis!$I$2:$I$121,Analysis!$D$2:$D$121,$I14)/SUMIFS(Analysis!$H$2:$H$121,Analysis!$D$2:$D$121,$I14)</f>
        <v>0.80657999469355268</v>
      </c>
      <c r="L14" s="18">
        <f>SUMIFS(Analysis!$J$2:$J$121,Analysis!$D$2:$D$121,$I14)</f>
        <v>729</v>
      </c>
      <c r="M14" s="18">
        <f>SUMIFS(Analysis!$V$2:$V$121,Analysis!$D$2:$D$121,$I14)</f>
        <v>8</v>
      </c>
    </row>
    <row r="15" spans="1:14" x14ac:dyDescent="0.35">
      <c r="A15" s="17" t="s">
        <v>64</v>
      </c>
      <c r="B15" s="18">
        <f>SUMIFS(Analysis!$I$2:$I$121,Analysis!$B$2:$B$121,$A15)</f>
        <v>4170</v>
      </c>
      <c r="C15" s="18">
        <f>SUMIFS(Analysis!$H$2:$H$121,Analysis!$B$2:$B$121,$A15)</f>
        <v>5359</v>
      </c>
      <c r="D15" s="19">
        <f>B15/C15</f>
        <v>0.7781302481806307</v>
      </c>
      <c r="E15" s="20">
        <f>SUMPRODUCT((Analysis!$B$2:$B$121=$A15)*Analysis!$I$2:$I$121*Analysis!$G$2:$G$121)</f>
        <v>171222.3</v>
      </c>
      <c r="F15" s="18">
        <f>SUMIFS(Analysis!$W$2:$W$121,Analysis!$B$2:$B$121,$A15)</f>
        <v>2390</v>
      </c>
      <c r="G15" s="20">
        <f>SUMIFS(Analysis!$T$2:$T$121,Analysis!$B$2:$B$121,$A15)</f>
        <v>29960.136666666669</v>
      </c>
      <c r="I15" s="17" t="s">
        <v>65</v>
      </c>
      <c r="J15" s="18">
        <f>SUMIFS(Analysis!$I$2:$I$121,Analysis!$D$2:$D$121,$I15)</f>
        <v>3570</v>
      </c>
      <c r="K15" s="19">
        <f>SUMIFS(Analysis!$I$2:$I$121,Analysis!$D$2:$D$121,$I15)/SUMIFS(Analysis!$H$2:$H$121,Analysis!$D$2:$D$121,$I15)</f>
        <v>0.82888321337357784</v>
      </c>
      <c r="L15" s="18">
        <f>SUMIFS(Analysis!$J$2:$J$121,Analysis!$D$2:$D$121,$I15)</f>
        <v>737</v>
      </c>
      <c r="M15" s="18">
        <f>SUMIFS(Analysis!$V$2:$V$121,Analysis!$D$2:$D$121,$I15)</f>
        <v>8</v>
      </c>
    </row>
    <row r="16" spans="1:14" x14ac:dyDescent="0.35">
      <c r="A16" s="17" t="s">
        <v>66</v>
      </c>
      <c r="B16" s="18">
        <f>SUMIFS(Analysis!$I$2:$I$121,Analysis!$B$2:$B$121,$A16)</f>
        <v>2603</v>
      </c>
      <c r="C16" s="18">
        <f>SUMIFS(Analysis!$H$2:$H$121,Analysis!$B$2:$B$121,$A16)</f>
        <v>3342</v>
      </c>
      <c r="D16" s="19">
        <f>B16/C16</f>
        <v>0.77887492519449431</v>
      </c>
      <c r="E16" s="20">
        <f>SUMPRODUCT((Analysis!$B$2:$B$121=$A16)*Analysis!$I$2:$I$121*Analysis!$G$2:$G$121)</f>
        <v>106931.97000000002</v>
      </c>
      <c r="F16" s="18">
        <f>SUMIFS(Analysis!$W$2:$W$121,Analysis!$B$2:$B$121,$A16)</f>
        <v>1502</v>
      </c>
      <c r="G16" s="20">
        <f>SUMIFS(Analysis!$T$2:$T$121,Analysis!$B$2:$B$121,$A16)</f>
        <v>19452.595833333333</v>
      </c>
      <c r="I16" s="17" t="s">
        <v>67</v>
      </c>
      <c r="J16" s="18">
        <f>SUMIFS(Analysis!$I$2:$I$121,Analysis!$D$2:$D$121,$I16)</f>
        <v>2605</v>
      </c>
      <c r="K16" s="19">
        <f>SUMIFS(Analysis!$I$2:$I$121,Analysis!$D$2:$D$121,$I16)/SUMIFS(Analysis!$H$2:$H$121,Analysis!$D$2:$D$121,$I16)</f>
        <v>0.94145283700758942</v>
      </c>
      <c r="L16" s="18">
        <f>SUMIFS(Analysis!$J$2:$J$121,Analysis!$D$2:$D$121,$I16)</f>
        <v>162</v>
      </c>
      <c r="M16" s="18">
        <f>SUMIFS(Analysis!$V$2:$V$121,Analysis!$D$2:$D$121,$I16)</f>
        <v>0</v>
      </c>
    </row>
    <row r="17" spans="1:13" x14ac:dyDescent="0.35">
      <c r="A17" s="17" t="s">
        <v>68</v>
      </c>
      <c r="B17" s="18">
        <f>SUMIFS(Analysis!$I$2:$I$121,Analysis!$B$2:$B$121,$A17)</f>
        <v>3539</v>
      </c>
      <c r="C17" s="18">
        <f>SUMIFS(Analysis!$H$2:$H$121,Analysis!$B$2:$B$121,$A17)</f>
        <v>4544</v>
      </c>
      <c r="D17" s="19">
        <f>B17/C17</f>
        <v>0.77882922535211263</v>
      </c>
      <c r="E17" s="20">
        <f>SUMPRODUCT((Analysis!$B$2:$B$121=$A17)*Analysis!$I$2:$I$121*Analysis!$G$2:$G$121)</f>
        <v>145431.61000000002</v>
      </c>
      <c r="F17" s="18">
        <f>SUMIFS(Analysis!$W$2:$W$121,Analysis!$B$2:$B$121,$A17)</f>
        <v>2120</v>
      </c>
      <c r="G17" s="20">
        <f>SUMIFS(Analysis!$T$2:$T$121,Analysis!$B$2:$B$121,$A17)</f>
        <v>26750.715</v>
      </c>
      <c r="I17" s="17" t="s">
        <v>69</v>
      </c>
      <c r="J17" s="18">
        <f>SUMIFS(Analysis!$I$2:$I$121,Analysis!$D$2:$D$121,$I17)</f>
        <v>2272</v>
      </c>
      <c r="K17" s="19">
        <f>SUMIFS(Analysis!$I$2:$I$121,Analysis!$D$2:$D$121,$I17)/SUMIFS(Analysis!$H$2:$H$121,Analysis!$D$2:$D$121,$I17)</f>
        <v>0.79803301721109943</v>
      </c>
      <c r="L17" s="18">
        <f>SUMIFS(Analysis!$J$2:$J$121,Analysis!$D$2:$D$121,$I17)</f>
        <v>575</v>
      </c>
      <c r="M17" s="18">
        <f>SUMIFS(Analysis!$V$2:$V$121,Analysis!$D$2:$D$121,$I17)</f>
        <v>0</v>
      </c>
    </row>
    <row r="18" spans="1:13" x14ac:dyDescent="0.35">
      <c r="I18" s="17" t="s">
        <v>70</v>
      </c>
      <c r="J18" s="18">
        <f>SUMIFS(Analysis!$I$2:$I$121,Analysis!$D$2:$D$121,$I18)</f>
        <v>1935</v>
      </c>
      <c r="K18" s="19">
        <f>SUMIFS(Analysis!$I$2:$I$121,Analysis!$D$2:$D$121,$I18)/SUMIFS(Analysis!$H$2:$H$121,Analysis!$D$2:$D$121,$I18)</f>
        <v>0.53779877709838797</v>
      </c>
      <c r="L18" s="18">
        <f>SUMIFS(Analysis!$J$2:$J$121,Analysis!$D$2:$D$121,$I18)</f>
        <v>1663</v>
      </c>
      <c r="M18" s="18">
        <f>SUMIFS(Analysis!$V$2:$V$121,Analysis!$D$2:$D$121,$I18)</f>
        <v>12</v>
      </c>
    </row>
    <row r="35" spans="1:5" x14ac:dyDescent="0.35">
      <c r="A35" s="23" t="s">
        <v>75</v>
      </c>
    </row>
    <row r="36" spans="1:5" x14ac:dyDescent="0.35">
      <c r="A36" s="24" t="s">
        <v>76</v>
      </c>
      <c r="B36" s="24" t="s">
        <v>62</v>
      </c>
      <c r="C36" s="24" t="s">
        <v>64</v>
      </c>
      <c r="D36" s="24" t="s">
        <v>66</v>
      </c>
      <c r="E36" s="24" t="s">
        <v>68</v>
      </c>
    </row>
    <row r="37" spans="1:5" x14ac:dyDescent="0.35">
      <c r="A37" s="21">
        <v>1</v>
      </c>
      <c r="B37" s="19">
        <f>SUMIFS(Fact_Weekly!$E$2:$E$1500,Fact_Weekly!$C$2:$C$1500,B$36,Fact_Weekly!$A$2:$A$1500,"&lt;="&amp;$A37)/$C$14</f>
        <v>0.11600296809300024</v>
      </c>
      <c r="C37" s="19">
        <f>SUMIFS(Fact_Weekly!$E$2:$E$1500,Fact_Weekly!$C$2:$C$1500,C$36,Fact_Weekly!$A$2:$A$1500,"&lt;="&amp;$A37)/$C$15</f>
        <v>0.11662623623810413</v>
      </c>
      <c r="D37" s="19">
        <f>SUMIFS(Fact_Weekly!$E$2:$E$1500,Fact_Weekly!$C$2:$C$1500,D$36,Fact_Weekly!$A$2:$A$1500,"&lt;="&amp;$A37)/$C$16</f>
        <v>0.12148414123279473</v>
      </c>
      <c r="E37" s="19">
        <f>SUMIFS(Fact_Weekly!$E$2:$E$1500,Fact_Weekly!$C$2:$C$1500,E$36,Fact_Weekly!$A$2:$A$1500,"&lt;="&amp;$A37)/$C$17</f>
        <v>0.12830105633802816</v>
      </c>
    </row>
    <row r="38" spans="1:5" x14ac:dyDescent="0.35">
      <c r="A38" s="21">
        <v>2</v>
      </c>
      <c r="B38" s="19">
        <f>SUMIFS(Fact_Weekly!$E$2:$E$1500,Fact_Weekly!$C$2:$C$1500,B$36,Fact_Weekly!$A$2:$A$1500,"&lt;="&amp;$A38)/$C$14</f>
        <v>0.21568142468464011</v>
      </c>
      <c r="C38" s="19">
        <f>SUMIFS(Fact_Weekly!$E$2:$E$1500,Fact_Weekly!$C$2:$C$1500,C$36,Fact_Weekly!$A$2:$A$1500,"&lt;="&amp;$A38)/$C$15</f>
        <v>0.22112334390744542</v>
      </c>
      <c r="D38" s="19">
        <f>SUMIFS(Fact_Weekly!$E$2:$E$1500,Fact_Weekly!$C$2:$C$1500,D$36,Fact_Weekly!$A$2:$A$1500,"&lt;="&amp;$A38)/$C$16</f>
        <v>0.22052663076002393</v>
      </c>
      <c r="E38" s="19">
        <f>SUMIFS(Fact_Weekly!$E$2:$E$1500,Fact_Weekly!$C$2:$C$1500,E$36,Fact_Weekly!$A$2:$A$1500,"&lt;="&amp;$A38)/$C$17</f>
        <v>0.23173415492957747</v>
      </c>
    </row>
    <row r="39" spans="1:5" x14ac:dyDescent="0.35">
      <c r="A39" s="21">
        <v>3</v>
      </c>
      <c r="B39" s="19">
        <f>SUMIFS(Fact_Weekly!$E$2:$E$1500,Fact_Weekly!$C$2:$C$1500,B$36,Fact_Weekly!$A$2:$A$1500,"&lt;="&amp;$A39)/$C$14</f>
        <v>0.30076675735839725</v>
      </c>
      <c r="C39" s="19">
        <f>SUMIFS(Fact_Weekly!$E$2:$E$1500,Fact_Weekly!$C$2:$C$1500,C$36,Fact_Weekly!$A$2:$A$1500,"&lt;="&amp;$A39)/$C$15</f>
        <v>0.31031908938234748</v>
      </c>
      <c r="D39" s="19">
        <f>SUMIFS(Fact_Weekly!$E$2:$E$1500,Fact_Weekly!$C$2:$C$1500,D$36,Fact_Weekly!$A$2:$A$1500,"&lt;="&amp;$A39)/$C$16</f>
        <v>0.30789946140035906</v>
      </c>
      <c r="E39" s="19">
        <f>SUMIFS(Fact_Weekly!$E$2:$E$1500,Fact_Weekly!$C$2:$C$1500,E$36,Fact_Weekly!$A$2:$A$1500,"&lt;="&amp;$A39)/$C$17</f>
        <v>0.32108274647887325</v>
      </c>
    </row>
    <row r="40" spans="1:5" x14ac:dyDescent="0.35">
      <c r="A40" s="21">
        <v>4</v>
      </c>
      <c r="B40" s="19">
        <f>SUMIFS(Fact_Weekly!$E$2:$E$1500,Fact_Weekly!$C$2:$C$1500,B$36,Fact_Weekly!$A$2:$A$1500,"&lt;="&amp;$A40)/$C$14</f>
        <v>0.37793717536482807</v>
      </c>
      <c r="C40" s="19">
        <f>SUMIFS(Fact_Weekly!$E$2:$E$1500,Fact_Weekly!$C$2:$C$1500,C$36,Fact_Weekly!$A$2:$A$1500,"&lt;="&amp;$A40)/$C$15</f>
        <v>0.38719910431050569</v>
      </c>
      <c r="D40" s="19">
        <f>SUMIFS(Fact_Weekly!$E$2:$E$1500,Fact_Weekly!$C$2:$C$1500,D$36,Fact_Weekly!$A$2:$A$1500,"&lt;="&amp;$A40)/$C$16</f>
        <v>0.38779174147217232</v>
      </c>
      <c r="E40" s="19">
        <f>SUMIFS(Fact_Weekly!$E$2:$E$1500,Fact_Weekly!$C$2:$C$1500,E$36,Fact_Weekly!$A$2:$A$1500,"&lt;="&amp;$A40)/$C$17</f>
        <v>0.39590669014084506</v>
      </c>
    </row>
    <row r="41" spans="1:5" x14ac:dyDescent="0.35">
      <c r="A41" s="21">
        <v>5</v>
      </c>
      <c r="B41" s="19">
        <f>SUMIFS(Fact_Weekly!$E$2:$E$1500,Fact_Weekly!$C$2:$C$1500,B$36,Fact_Weekly!$A$2:$A$1500,"&lt;="&amp;$A41)/$C$14</f>
        <v>0.43927776403660646</v>
      </c>
      <c r="C41" s="19">
        <f>SUMIFS(Fact_Weekly!$E$2:$E$1500,Fact_Weekly!$C$2:$C$1500,C$36,Fact_Weekly!$A$2:$A$1500,"&lt;="&amp;$A41)/$C$15</f>
        <v>0.44541892144056727</v>
      </c>
      <c r="D41" s="19">
        <f>SUMIFS(Fact_Weekly!$E$2:$E$1500,Fact_Weekly!$C$2:$C$1500,D$36,Fact_Weekly!$A$2:$A$1500,"&lt;="&amp;$A41)/$C$16</f>
        <v>0.44943147815679235</v>
      </c>
      <c r="E41" s="19">
        <f>SUMIFS(Fact_Weekly!$E$2:$E$1500,Fact_Weekly!$C$2:$C$1500,E$36,Fact_Weekly!$A$2:$A$1500,"&lt;="&amp;$A41)/$C$17</f>
        <v>0.453125</v>
      </c>
    </row>
    <row r="42" spans="1:5" x14ac:dyDescent="0.35">
      <c r="A42" s="21">
        <v>6</v>
      </c>
      <c r="B42" s="19">
        <f>SUMIFS(Fact_Weekly!$E$2:$E$1500,Fact_Weekly!$C$2:$C$1500,B$36,Fact_Weekly!$A$2:$A$1500,"&lt;="&amp;$A42)/$C$14</f>
        <v>0.49146673262428892</v>
      </c>
      <c r="C42" s="19">
        <f>SUMIFS(Fact_Weekly!$E$2:$E$1500,Fact_Weekly!$C$2:$C$1500,C$36,Fact_Weekly!$A$2:$A$1500,"&lt;="&amp;$A42)/$C$15</f>
        <v>0.49766747527523791</v>
      </c>
      <c r="D42" s="19">
        <f>SUMIFS(Fact_Weekly!$E$2:$E$1500,Fact_Weekly!$C$2:$C$1500,D$36,Fact_Weekly!$A$2:$A$1500,"&lt;="&amp;$A42)/$C$16</f>
        <v>0.50329144225014966</v>
      </c>
      <c r="E42" s="19">
        <f>SUMIFS(Fact_Weekly!$E$2:$E$1500,Fact_Weekly!$C$2:$C$1500,E$36,Fact_Weekly!$A$2:$A$1500,"&lt;="&amp;$A42)/$C$17</f>
        <v>0.50484154929577463</v>
      </c>
    </row>
    <row r="43" spans="1:5" x14ac:dyDescent="0.35">
      <c r="A43" s="21">
        <v>7</v>
      </c>
      <c r="B43" s="19">
        <f>SUMIFS(Fact_Weekly!$E$2:$E$1500,Fact_Weekly!$C$2:$C$1500,B$36,Fact_Weekly!$A$2:$A$1500,"&lt;="&amp;$A43)/$C$14</f>
        <v>0.5416769725451398</v>
      </c>
      <c r="C43" s="19">
        <f>SUMIFS(Fact_Weekly!$E$2:$E$1500,Fact_Weekly!$C$2:$C$1500,C$36,Fact_Weekly!$A$2:$A$1500,"&lt;="&amp;$A43)/$C$15</f>
        <v>0.54805000933009895</v>
      </c>
      <c r="D43" s="19">
        <f>SUMIFS(Fact_Weekly!$E$2:$E$1500,Fact_Weekly!$C$2:$C$1500,D$36,Fact_Weekly!$A$2:$A$1500,"&lt;="&amp;$A43)/$C$16</f>
        <v>0.55266307600239373</v>
      </c>
      <c r="E43" s="19">
        <f>SUMIFS(Fact_Weekly!$E$2:$E$1500,Fact_Weekly!$C$2:$C$1500,E$36,Fact_Weekly!$A$2:$A$1500,"&lt;="&amp;$A43)/$C$17</f>
        <v>0.55215669014084512</v>
      </c>
    </row>
    <row r="44" spans="1:5" x14ac:dyDescent="0.35">
      <c r="A44" s="21">
        <v>8</v>
      </c>
      <c r="B44" s="19">
        <f>SUMIFS(Fact_Weekly!$E$2:$E$1500,Fact_Weekly!$C$2:$C$1500,B$36,Fact_Weekly!$A$2:$A$1500,"&lt;="&amp;$A44)/$C$14</f>
        <v>0.58792975513232748</v>
      </c>
      <c r="C44" s="19">
        <f>SUMIFS(Fact_Weekly!$E$2:$E$1500,Fact_Weekly!$C$2:$C$1500,C$36,Fact_Weekly!$A$2:$A$1500,"&lt;="&amp;$A44)/$C$15</f>
        <v>0.59600671767120728</v>
      </c>
      <c r="D44" s="19">
        <f>SUMIFS(Fact_Weekly!$E$2:$E$1500,Fact_Weekly!$C$2:$C$1500,D$36,Fact_Weekly!$A$2:$A$1500,"&lt;="&amp;$A44)/$C$16</f>
        <v>0.6011370436864153</v>
      </c>
      <c r="E44" s="19">
        <f>SUMIFS(Fact_Weekly!$E$2:$E$1500,Fact_Weekly!$C$2:$C$1500,E$36,Fact_Weekly!$A$2:$A$1500,"&lt;="&amp;$A44)/$C$17</f>
        <v>0.59903169014084512</v>
      </c>
    </row>
    <row r="45" spans="1:5" x14ac:dyDescent="0.35">
      <c r="A45" s="21">
        <v>9</v>
      </c>
      <c r="B45" s="19">
        <f>SUMIFS(Fact_Weekly!$E$2:$E$1500,Fact_Weekly!$C$2:$C$1500,B$36,Fact_Weekly!$A$2:$A$1500,"&lt;="&amp;$A45)/$C$14</f>
        <v>0.63541924313628495</v>
      </c>
      <c r="C45" s="19">
        <f>SUMIFS(Fact_Weekly!$E$2:$E$1500,Fact_Weekly!$C$2:$C$1500,C$36,Fact_Weekly!$A$2:$A$1500,"&lt;="&amp;$A45)/$C$15</f>
        <v>0.64415002799029675</v>
      </c>
      <c r="D45" s="19">
        <f>SUMIFS(Fact_Weekly!$E$2:$E$1500,Fact_Weekly!$C$2:$C$1500,D$36,Fact_Weekly!$A$2:$A$1500,"&lt;="&amp;$A45)/$C$16</f>
        <v>0.64901256732495516</v>
      </c>
      <c r="E45" s="19">
        <f>SUMIFS(Fact_Weekly!$E$2:$E$1500,Fact_Weekly!$C$2:$C$1500,E$36,Fact_Weekly!$A$2:$A$1500,"&lt;="&amp;$A45)/$C$17</f>
        <v>0.64502640845070425</v>
      </c>
    </row>
    <row r="46" spans="1:5" x14ac:dyDescent="0.35">
      <c r="A46" s="21">
        <v>10</v>
      </c>
      <c r="B46" s="19">
        <f>SUMIFS(Fact_Weekly!$E$2:$E$1500,Fact_Weekly!$C$2:$C$1500,B$36,Fact_Weekly!$A$2:$A$1500,"&lt;="&amp;$A46)/$C$14</f>
        <v>0.68191936680682663</v>
      </c>
      <c r="C46" s="19">
        <f>SUMIFS(Fact_Weekly!$E$2:$E$1500,Fact_Weekly!$C$2:$C$1500,C$36,Fact_Weekly!$A$2:$A$1500,"&lt;="&amp;$A46)/$C$15</f>
        <v>0.69042731852957639</v>
      </c>
      <c r="D46" s="19">
        <f>SUMIFS(Fact_Weekly!$E$2:$E$1500,Fact_Weekly!$C$2:$C$1500,D$36,Fact_Weekly!$A$2:$A$1500,"&lt;="&amp;$A46)/$C$16</f>
        <v>0.69299820466786355</v>
      </c>
      <c r="E46" s="19">
        <f>SUMIFS(Fact_Weekly!$E$2:$E$1500,Fact_Weekly!$C$2:$C$1500,E$36,Fact_Weekly!$A$2:$A$1500,"&lt;="&amp;$A46)/$C$17</f>
        <v>0.691681338028169</v>
      </c>
    </row>
    <row r="47" spans="1:5" x14ac:dyDescent="0.35">
      <c r="A47" s="21">
        <v>11</v>
      </c>
      <c r="B47" s="19">
        <f>SUMIFS(Fact_Weekly!$E$2:$E$1500,Fact_Weekly!$C$2:$C$1500,B$36,Fact_Weekly!$A$2:$A$1500,"&lt;="&amp;$A47)/$C$14</f>
        <v>0.72569873856047484</v>
      </c>
      <c r="C47" s="19">
        <f>SUMIFS(Fact_Weekly!$E$2:$E$1500,Fact_Weekly!$C$2:$C$1500,C$36,Fact_Weekly!$A$2:$A$1500,"&lt;="&amp;$A47)/$C$15</f>
        <v>0.73595820115693222</v>
      </c>
      <c r="D47" s="19">
        <f>SUMIFS(Fact_Weekly!$E$2:$E$1500,Fact_Weekly!$C$2:$C$1500,D$36,Fact_Weekly!$A$2:$A$1500,"&lt;="&amp;$A47)/$C$16</f>
        <v>0.73877917414721728</v>
      </c>
      <c r="E47" s="19">
        <f>SUMIFS(Fact_Weekly!$E$2:$E$1500,Fact_Weekly!$C$2:$C$1500,E$36,Fact_Weekly!$A$2:$A$1500,"&lt;="&amp;$A47)/$C$17</f>
        <v>0.73613556338028174</v>
      </c>
    </row>
    <row r="48" spans="1:5" x14ac:dyDescent="0.35">
      <c r="A48" s="21">
        <v>12</v>
      </c>
      <c r="B48" s="19">
        <f>SUMIFS(Fact_Weekly!$E$2:$E$1500,Fact_Weekly!$C$2:$C$1500,B$36,Fact_Weekly!$A$2:$A$1500,"&lt;="&amp;$A48)/$C$14</f>
        <v>0.76923076923076927</v>
      </c>
      <c r="C48" s="19">
        <f>SUMIFS(Fact_Weekly!$E$2:$E$1500,Fact_Weekly!$C$2:$C$1500,C$36,Fact_Weekly!$A$2:$A$1500,"&lt;="&amp;$A48)/$C$15</f>
        <v>0.7781302481806307</v>
      </c>
      <c r="D48" s="19">
        <f>SUMIFS(Fact_Weekly!$E$2:$E$1500,Fact_Weekly!$C$2:$C$1500,D$36,Fact_Weekly!$A$2:$A$1500,"&lt;="&amp;$A48)/$C$16</f>
        <v>0.77887492519449431</v>
      </c>
      <c r="E48" s="19">
        <f>SUMIFS(Fact_Weekly!$E$2:$E$1500,Fact_Weekly!$C$2:$C$1500,E$36,Fact_Weekly!$A$2:$A$1500,"&lt;="&amp;$A48)/$C$17</f>
        <v>0.77882922535211263</v>
      </c>
    </row>
  </sheetData>
  <mergeCells count="18">
    <mergeCell ref="A9:C10"/>
    <mergeCell ref="D9:F10"/>
    <mergeCell ref="G9:I10"/>
    <mergeCell ref="J9:L10"/>
    <mergeCell ref="A5:C6"/>
    <mergeCell ref="D5:F6"/>
    <mergeCell ref="G5:I6"/>
    <mergeCell ref="J5:L6"/>
    <mergeCell ref="A8:C8"/>
    <mergeCell ref="D8:F8"/>
    <mergeCell ref="G8:I8"/>
    <mergeCell ref="J8:L8"/>
    <mergeCell ref="A1:N1"/>
    <mergeCell ref="A2:N2"/>
    <mergeCell ref="A4:C4"/>
    <mergeCell ref="D4:F4"/>
    <mergeCell ref="G4:I4"/>
    <mergeCell ref="J4:L4"/>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79419-CA01-4423-B5F5-C423F4FAB3BF}">
  <dimension ref="A1:G124"/>
  <sheetViews>
    <sheetView zoomScale="59" workbookViewId="0">
      <pane ySplit="3" topLeftCell="A4" activePane="bottomLeft" state="frozen"/>
      <selection pane="bottomLeft" activeCell="G13" sqref="G13"/>
    </sheetView>
  </sheetViews>
  <sheetFormatPr defaultRowHeight="14.5" x14ac:dyDescent="0.35"/>
  <cols>
    <col min="1" max="1" width="19.36328125" bestFit="1" customWidth="1"/>
    <col min="2" max="2" width="24.7265625" bestFit="1" customWidth="1"/>
    <col min="3" max="3" width="18.90625" bestFit="1" customWidth="1"/>
    <col min="4" max="4" width="23.36328125" bestFit="1" customWidth="1"/>
    <col min="5" max="5" width="24.26953125" bestFit="1" customWidth="1"/>
    <col min="6" max="7" width="18" bestFit="1" customWidth="1"/>
  </cols>
  <sheetData>
    <row r="1" spans="1:7" x14ac:dyDescent="0.35">
      <c r="A1" s="58" t="s">
        <v>192</v>
      </c>
      <c r="B1" t="s">
        <v>219</v>
      </c>
    </row>
    <row r="3" spans="1:7" x14ac:dyDescent="0.35">
      <c r="A3" s="58" t="s">
        <v>71</v>
      </c>
      <c r="B3" s="58" t="s">
        <v>72</v>
      </c>
      <c r="C3" s="58" t="s">
        <v>52</v>
      </c>
      <c r="D3" t="s">
        <v>223</v>
      </c>
      <c r="E3" t="s">
        <v>224</v>
      </c>
      <c r="F3" t="s">
        <v>221</v>
      </c>
      <c r="G3" t="s">
        <v>222</v>
      </c>
    </row>
    <row r="4" spans="1:7" x14ac:dyDescent="0.35">
      <c r="A4" t="s">
        <v>99</v>
      </c>
      <c r="B4" t="s">
        <v>100</v>
      </c>
      <c r="C4" t="s">
        <v>64</v>
      </c>
      <c r="D4" s="59">
        <v>1</v>
      </c>
      <c r="E4" s="60">
        <v>0</v>
      </c>
      <c r="F4" s="61">
        <v>0</v>
      </c>
      <c r="G4" s="61">
        <v>146</v>
      </c>
    </row>
    <row r="5" spans="1:7" x14ac:dyDescent="0.35">
      <c r="A5" t="s">
        <v>99</v>
      </c>
      <c r="B5" t="s">
        <v>100</v>
      </c>
      <c r="C5" t="s">
        <v>66</v>
      </c>
      <c r="D5" s="59">
        <v>1</v>
      </c>
      <c r="E5" s="60">
        <v>0</v>
      </c>
      <c r="F5" s="61">
        <v>0</v>
      </c>
      <c r="G5" s="61">
        <v>85</v>
      </c>
    </row>
    <row r="6" spans="1:7" x14ac:dyDescent="0.35">
      <c r="A6" t="s">
        <v>99</v>
      </c>
      <c r="B6" t="s">
        <v>100</v>
      </c>
      <c r="C6" t="s">
        <v>68</v>
      </c>
      <c r="D6" s="59">
        <v>0.96052631578947367</v>
      </c>
      <c r="E6" s="60">
        <v>0.5714285714285714</v>
      </c>
      <c r="F6" s="61">
        <v>9</v>
      </c>
      <c r="G6" s="61">
        <v>86</v>
      </c>
    </row>
    <row r="7" spans="1:7" x14ac:dyDescent="0.35">
      <c r="A7" t="s">
        <v>99</v>
      </c>
      <c r="B7" t="s">
        <v>100</v>
      </c>
      <c r="C7" t="s">
        <v>62</v>
      </c>
      <c r="D7" s="59">
        <v>1</v>
      </c>
      <c r="E7" s="60">
        <v>0</v>
      </c>
      <c r="F7" s="61">
        <v>0</v>
      </c>
      <c r="G7" s="61">
        <v>108</v>
      </c>
    </row>
    <row r="8" spans="1:7" x14ac:dyDescent="0.35">
      <c r="A8" t="s">
        <v>106</v>
      </c>
      <c r="B8" t="s">
        <v>100</v>
      </c>
      <c r="C8" t="s">
        <v>64</v>
      </c>
      <c r="D8" s="59">
        <v>0.86016949152542377</v>
      </c>
      <c r="E8" s="60">
        <v>1.736842105263158</v>
      </c>
      <c r="F8" s="61">
        <v>33</v>
      </c>
      <c r="G8" s="61">
        <v>81</v>
      </c>
    </row>
    <row r="9" spans="1:7" x14ac:dyDescent="0.35">
      <c r="A9" t="s">
        <v>106</v>
      </c>
      <c r="B9" t="s">
        <v>100</v>
      </c>
      <c r="C9" t="s">
        <v>66</v>
      </c>
      <c r="D9" s="59">
        <v>0.99295774647887325</v>
      </c>
      <c r="E9" s="60">
        <v>8.3333333333333329E-2</v>
      </c>
      <c r="F9" s="61">
        <v>1</v>
      </c>
      <c r="G9" s="61">
        <v>71</v>
      </c>
    </row>
    <row r="10" spans="1:7" x14ac:dyDescent="0.35">
      <c r="A10" t="s">
        <v>106</v>
      </c>
      <c r="B10" t="s">
        <v>100</v>
      </c>
      <c r="C10" t="s">
        <v>68</v>
      </c>
      <c r="D10" s="59">
        <v>0.97382198952879584</v>
      </c>
      <c r="E10" s="60">
        <v>0.30303030303030304</v>
      </c>
      <c r="F10" s="61">
        <v>5</v>
      </c>
      <c r="G10" s="61">
        <v>94</v>
      </c>
    </row>
    <row r="11" spans="1:7" x14ac:dyDescent="0.35">
      <c r="A11" t="s">
        <v>106</v>
      </c>
      <c r="B11" t="s">
        <v>100</v>
      </c>
      <c r="C11" t="s">
        <v>62</v>
      </c>
      <c r="D11" s="59">
        <v>1</v>
      </c>
      <c r="E11" s="60">
        <v>0</v>
      </c>
      <c r="F11" s="61">
        <v>0</v>
      </c>
      <c r="G11" s="61">
        <v>89</v>
      </c>
    </row>
    <row r="12" spans="1:7" x14ac:dyDescent="0.35">
      <c r="A12" t="s">
        <v>104</v>
      </c>
      <c r="B12" t="s">
        <v>100</v>
      </c>
      <c r="C12" t="s">
        <v>64</v>
      </c>
      <c r="D12" s="59">
        <v>0.93145161290322576</v>
      </c>
      <c r="E12" s="60">
        <v>0.8</v>
      </c>
      <c r="F12" s="61">
        <v>17</v>
      </c>
      <c r="G12" s="61">
        <v>111</v>
      </c>
    </row>
    <row r="13" spans="1:7" x14ac:dyDescent="0.35">
      <c r="A13" t="s">
        <v>104</v>
      </c>
      <c r="B13" t="s">
        <v>100</v>
      </c>
      <c r="C13" t="s">
        <v>66</v>
      </c>
      <c r="D13" s="59">
        <v>0.85119047619047616</v>
      </c>
      <c r="E13" s="60">
        <v>2.0408163265306123</v>
      </c>
      <c r="F13" s="61">
        <v>25</v>
      </c>
      <c r="G13" s="61">
        <v>49</v>
      </c>
    </row>
    <row r="14" spans="1:7" x14ac:dyDescent="0.35">
      <c r="A14" t="s">
        <v>104</v>
      </c>
      <c r="B14" t="s">
        <v>100</v>
      </c>
      <c r="C14" t="s">
        <v>68</v>
      </c>
      <c r="D14" s="59">
        <v>1</v>
      </c>
      <c r="E14" s="60">
        <v>0</v>
      </c>
      <c r="F14" s="61">
        <v>0</v>
      </c>
      <c r="G14" s="61">
        <v>117</v>
      </c>
    </row>
    <row r="15" spans="1:7" x14ac:dyDescent="0.35">
      <c r="A15" t="s">
        <v>104</v>
      </c>
      <c r="B15" t="s">
        <v>100</v>
      </c>
      <c r="C15" t="s">
        <v>62</v>
      </c>
      <c r="D15" s="59">
        <v>0.93969849246231152</v>
      </c>
      <c r="E15" s="60">
        <v>0.72727272727272729</v>
      </c>
      <c r="F15" s="61">
        <v>12</v>
      </c>
      <c r="G15" s="61">
        <v>87</v>
      </c>
    </row>
    <row r="16" spans="1:7" x14ac:dyDescent="0.35">
      <c r="A16" t="s">
        <v>108</v>
      </c>
      <c r="B16" t="s">
        <v>109</v>
      </c>
      <c r="C16" t="s">
        <v>64</v>
      </c>
      <c r="D16" s="59">
        <v>0.93809523809523809</v>
      </c>
      <c r="E16" s="60">
        <v>0.8125</v>
      </c>
      <c r="F16" s="61">
        <v>13</v>
      </c>
      <c r="G16" s="61">
        <v>83</v>
      </c>
    </row>
    <row r="17" spans="1:7" x14ac:dyDescent="0.35">
      <c r="A17" t="s">
        <v>108</v>
      </c>
      <c r="B17" t="s">
        <v>109</v>
      </c>
      <c r="C17" t="s">
        <v>66</v>
      </c>
      <c r="D17" s="59">
        <v>0.94067796610169496</v>
      </c>
      <c r="E17" s="60">
        <v>0.73684210526315785</v>
      </c>
      <c r="F17" s="61">
        <v>7</v>
      </c>
      <c r="G17" s="61">
        <v>50</v>
      </c>
    </row>
    <row r="18" spans="1:7" x14ac:dyDescent="0.35">
      <c r="A18" t="s">
        <v>108</v>
      </c>
      <c r="B18" t="s">
        <v>109</v>
      </c>
      <c r="C18" t="s">
        <v>68</v>
      </c>
      <c r="D18" s="59">
        <v>0.95569620253164556</v>
      </c>
      <c r="E18" s="60">
        <v>0.53846153846153844</v>
      </c>
      <c r="F18" s="61">
        <v>7</v>
      </c>
      <c r="G18" s="61">
        <v>71</v>
      </c>
    </row>
    <row r="19" spans="1:7" x14ac:dyDescent="0.35">
      <c r="A19" t="s">
        <v>108</v>
      </c>
      <c r="B19" t="s">
        <v>109</v>
      </c>
      <c r="C19" t="s">
        <v>62</v>
      </c>
      <c r="D19" s="59">
        <v>1</v>
      </c>
      <c r="E19" s="60">
        <v>0</v>
      </c>
      <c r="F19" s="61">
        <v>0</v>
      </c>
      <c r="G19" s="61">
        <v>72</v>
      </c>
    </row>
    <row r="20" spans="1:7" x14ac:dyDescent="0.35">
      <c r="A20" t="s">
        <v>114</v>
      </c>
      <c r="B20" t="s">
        <v>109</v>
      </c>
      <c r="C20" t="s">
        <v>64</v>
      </c>
      <c r="D20" s="59">
        <v>0.87142857142857144</v>
      </c>
      <c r="E20" s="60">
        <v>1.9459459459459461</v>
      </c>
      <c r="F20" s="61">
        <v>18</v>
      </c>
      <c r="G20" s="61">
        <v>38</v>
      </c>
    </row>
    <row r="21" spans="1:7" x14ac:dyDescent="0.35">
      <c r="A21" t="s">
        <v>114</v>
      </c>
      <c r="B21" t="s">
        <v>109</v>
      </c>
      <c r="C21" t="s">
        <v>66</v>
      </c>
      <c r="D21" s="59">
        <v>0.94680851063829785</v>
      </c>
      <c r="E21" s="60">
        <v>0.7142857142857143</v>
      </c>
      <c r="F21" s="61">
        <v>5</v>
      </c>
      <c r="G21" s="61">
        <v>37</v>
      </c>
    </row>
    <row r="22" spans="1:7" x14ac:dyDescent="0.35">
      <c r="A22" t="s">
        <v>114</v>
      </c>
      <c r="B22" t="s">
        <v>109</v>
      </c>
      <c r="C22" t="s">
        <v>68</v>
      </c>
      <c r="D22" s="59">
        <v>0.89075630252100846</v>
      </c>
      <c r="E22" s="60">
        <v>1.5294117647058822</v>
      </c>
      <c r="F22" s="61">
        <v>13</v>
      </c>
      <c r="G22" s="61">
        <v>38</v>
      </c>
    </row>
    <row r="23" spans="1:7" x14ac:dyDescent="0.35">
      <c r="A23" t="s">
        <v>114</v>
      </c>
      <c r="B23" t="s">
        <v>109</v>
      </c>
      <c r="C23" t="s">
        <v>62</v>
      </c>
      <c r="D23" s="59">
        <v>0.7589285714285714</v>
      </c>
      <c r="E23" s="60">
        <v>3.2727272727272729</v>
      </c>
      <c r="F23" s="61">
        <v>27</v>
      </c>
      <c r="G23" s="61">
        <v>0</v>
      </c>
    </row>
    <row r="24" spans="1:7" x14ac:dyDescent="0.35">
      <c r="A24" t="s">
        <v>112</v>
      </c>
      <c r="B24" t="s">
        <v>109</v>
      </c>
      <c r="C24" t="s">
        <v>64</v>
      </c>
      <c r="D24" s="59">
        <v>1</v>
      </c>
      <c r="E24" s="60">
        <v>0</v>
      </c>
      <c r="F24" s="61">
        <v>0</v>
      </c>
      <c r="G24" s="61">
        <v>79</v>
      </c>
    </row>
    <row r="25" spans="1:7" x14ac:dyDescent="0.35">
      <c r="A25" t="s">
        <v>112</v>
      </c>
      <c r="B25" t="s">
        <v>109</v>
      </c>
      <c r="C25" t="s">
        <v>66</v>
      </c>
      <c r="D25" s="59">
        <v>1</v>
      </c>
      <c r="E25" s="60">
        <v>0</v>
      </c>
      <c r="F25" s="61">
        <v>0</v>
      </c>
      <c r="G25" s="61">
        <v>49</v>
      </c>
    </row>
    <row r="26" spans="1:7" x14ac:dyDescent="0.35">
      <c r="A26" t="s">
        <v>112</v>
      </c>
      <c r="B26" t="s">
        <v>109</v>
      </c>
      <c r="C26" t="s">
        <v>68</v>
      </c>
      <c r="D26" s="59">
        <v>0.89763779527559051</v>
      </c>
      <c r="E26" s="60">
        <v>1.3333333333333333</v>
      </c>
      <c r="F26" s="61">
        <v>13</v>
      </c>
      <c r="G26" s="61">
        <v>46</v>
      </c>
    </row>
    <row r="27" spans="1:7" x14ac:dyDescent="0.35">
      <c r="A27" t="s">
        <v>112</v>
      </c>
      <c r="B27" t="s">
        <v>109</v>
      </c>
      <c r="C27" t="s">
        <v>62</v>
      </c>
      <c r="D27" s="59">
        <v>0.92982456140350878</v>
      </c>
      <c r="E27" s="60">
        <v>0.84210526315789469</v>
      </c>
      <c r="F27" s="61">
        <v>8</v>
      </c>
      <c r="G27" s="61">
        <v>49</v>
      </c>
    </row>
    <row r="28" spans="1:7" x14ac:dyDescent="0.35">
      <c r="A28" t="s">
        <v>116</v>
      </c>
      <c r="B28" t="s">
        <v>117</v>
      </c>
      <c r="C28" t="s">
        <v>64</v>
      </c>
      <c r="D28" s="59">
        <v>0.92052980132450335</v>
      </c>
      <c r="E28" s="60">
        <v>0.94117647058823528</v>
      </c>
      <c r="F28" s="61">
        <v>12</v>
      </c>
      <c r="G28" s="61">
        <v>65</v>
      </c>
    </row>
    <row r="29" spans="1:7" x14ac:dyDescent="0.35">
      <c r="A29" t="s">
        <v>116</v>
      </c>
      <c r="B29" t="s">
        <v>117</v>
      </c>
      <c r="C29" t="s">
        <v>66</v>
      </c>
      <c r="D29" s="59">
        <v>0.94565217391304346</v>
      </c>
      <c r="E29" s="60">
        <v>0.68965517241379315</v>
      </c>
      <c r="F29" s="61">
        <v>5</v>
      </c>
      <c r="G29" s="61">
        <v>39</v>
      </c>
    </row>
    <row r="30" spans="1:7" x14ac:dyDescent="0.35">
      <c r="A30" t="s">
        <v>116</v>
      </c>
      <c r="B30" t="s">
        <v>117</v>
      </c>
      <c r="C30" t="s">
        <v>68</v>
      </c>
      <c r="D30" s="59">
        <v>0.89922480620155043</v>
      </c>
      <c r="E30" s="60">
        <v>1.3</v>
      </c>
      <c r="F30" s="61">
        <v>13</v>
      </c>
      <c r="G30" s="61">
        <v>47</v>
      </c>
    </row>
    <row r="31" spans="1:7" x14ac:dyDescent="0.35">
      <c r="A31" t="s">
        <v>116</v>
      </c>
      <c r="B31" t="s">
        <v>117</v>
      </c>
      <c r="C31" t="s">
        <v>62</v>
      </c>
      <c r="D31" s="59">
        <v>0.97297297297297303</v>
      </c>
      <c r="E31" s="60">
        <v>0.34285714285714286</v>
      </c>
      <c r="F31" s="61">
        <v>3</v>
      </c>
      <c r="G31" s="61">
        <v>50</v>
      </c>
    </row>
    <row r="32" spans="1:7" x14ac:dyDescent="0.35">
      <c r="A32" t="s">
        <v>119</v>
      </c>
      <c r="B32" t="s">
        <v>117</v>
      </c>
      <c r="C32" t="s">
        <v>64</v>
      </c>
      <c r="D32" s="59">
        <v>0.97267759562841527</v>
      </c>
      <c r="E32" s="60">
        <v>0.36363636363636365</v>
      </c>
      <c r="F32" s="61">
        <v>5</v>
      </c>
      <c r="G32" s="61">
        <v>78</v>
      </c>
    </row>
    <row r="33" spans="1:7" x14ac:dyDescent="0.35">
      <c r="A33" t="s">
        <v>119</v>
      </c>
      <c r="B33" t="s">
        <v>117</v>
      </c>
      <c r="C33" t="s">
        <v>66</v>
      </c>
      <c r="D33" s="59">
        <v>0.91056910569105687</v>
      </c>
      <c r="E33" s="60">
        <v>1.1891891891891893</v>
      </c>
      <c r="F33" s="61">
        <v>11</v>
      </c>
      <c r="G33" s="61">
        <v>45</v>
      </c>
    </row>
    <row r="34" spans="1:7" x14ac:dyDescent="0.35">
      <c r="A34" t="s">
        <v>119</v>
      </c>
      <c r="B34" t="s">
        <v>117</v>
      </c>
      <c r="C34" t="s">
        <v>68</v>
      </c>
      <c r="D34" s="59">
        <v>0.83139534883720934</v>
      </c>
      <c r="E34" s="60">
        <v>2.4166666666666665</v>
      </c>
      <c r="F34" s="61">
        <v>29</v>
      </c>
      <c r="G34" s="61">
        <v>43</v>
      </c>
    </row>
    <row r="35" spans="1:7" x14ac:dyDescent="0.35">
      <c r="A35" t="s">
        <v>119</v>
      </c>
      <c r="B35" t="s">
        <v>117</v>
      </c>
      <c r="C35" t="s">
        <v>62</v>
      </c>
      <c r="D35" s="59">
        <v>0.91608391608391604</v>
      </c>
      <c r="E35" s="60">
        <v>0.96</v>
      </c>
      <c r="F35" s="61">
        <v>12</v>
      </c>
      <c r="G35" s="61">
        <v>63</v>
      </c>
    </row>
    <row r="36" spans="1:7" x14ac:dyDescent="0.35">
      <c r="A36" t="s">
        <v>121</v>
      </c>
      <c r="B36" t="s">
        <v>122</v>
      </c>
      <c r="C36" t="s">
        <v>64</v>
      </c>
      <c r="D36" s="59">
        <v>1</v>
      </c>
      <c r="E36" s="60">
        <v>0</v>
      </c>
      <c r="F36" s="61">
        <v>0</v>
      </c>
      <c r="G36" s="61">
        <v>52</v>
      </c>
    </row>
    <row r="37" spans="1:7" x14ac:dyDescent="0.35">
      <c r="A37" t="s">
        <v>121</v>
      </c>
      <c r="B37" t="s">
        <v>122</v>
      </c>
      <c r="C37" t="s">
        <v>66</v>
      </c>
      <c r="D37" s="59">
        <v>1</v>
      </c>
      <c r="E37" s="60">
        <v>0</v>
      </c>
      <c r="F37" s="61">
        <v>0</v>
      </c>
      <c r="G37" s="61">
        <v>32</v>
      </c>
    </row>
    <row r="38" spans="1:7" x14ac:dyDescent="0.35">
      <c r="A38" t="s">
        <v>121</v>
      </c>
      <c r="B38" t="s">
        <v>122</v>
      </c>
      <c r="C38" t="s">
        <v>68</v>
      </c>
      <c r="D38" s="59">
        <v>1</v>
      </c>
      <c r="E38" s="60">
        <v>0</v>
      </c>
      <c r="F38" s="61">
        <v>0</v>
      </c>
      <c r="G38" s="61">
        <v>44</v>
      </c>
    </row>
    <row r="39" spans="1:7" x14ac:dyDescent="0.35">
      <c r="A39" t="s">
        <v>121</v>
      </c>
      <c r="B39" t="s">
        <v>122</v>
      </c>
      <c r="C39" t="s">
        <v>62</v>
      </c>
      <c r="D39" s="59">
        <v>1</v>
      </c>
      <c r="E39" s="60">
        <v>0</v>
      </c>
      <c r="F39" s="61">
        <v>0</v>
      </c>
      <c r="G39" s="61">
        <v>41</v>
      </c>
    </row>
    <row r="40" spans="1:7" x14ac:dyDescent="0.35">
      <c r="A40" t="s">
        <v>124</v>
      </c>
      <c r="B40" t="s">
        <v>122</v>
      </c>
      <c r="C40" t="s">
        <v>64</v>
      </c>
      <c r="D40" s="59">
        <v>0.97560975609756095</v>
      </c>
      <c r="E40" s="60">
        <v>0.3</v>
      </c>
      <c r="F40" s="61">
        <v>3</v>
      </c>
      <c r="G40" s="61">
        <v>57</v>
      </c>
    </row>
    <row r="41" spans="1:7" x14ac:dyDescent="0.35">
      <c r="A41" t="s">
        <v>124</v>
      </c>
      <c r="B41" t="s">
        <v>122</v>
      </c>
      <c r="C41" t="s">
        <v>66</v>
      </c>
      <c r="D41" s="59">
        <v>0.85365853658536583</v>
      </c>
      <c r="E41" s="60">
        <v>2.4</v>
      </c>
      <c r="F41" s="61">
        <v>12</v>
      </c>
      <c r="G41" s="61">
        <v>18</v>
      </c>
    </row>
    <row r="42" spans="1:7" x14ac:dyDescent="0.35">
      <c r="A42" t="s">
        <v>124</v>
      </c>
      <c r="B42" t="s">
        <v>122</v>
      </c>
      <c r="C42" t="s">
        <v>68</v>
      </c>
      <c r="D42" s="59">
        <v>0.96</v>
      </c>
      <c r="E42" s="60">
        <v>0.48484848484848486</v>
      </c>
      <c r="F42" s="61">
        <v>4</v>
      </c>
      <c r="G42" s="61">
        <v>46</v>
      </c>
    </row>
    <row r="43" spans="1:7" x14ac:dyDescent="0.35">
      <c r="A43" t="s">
        <v>124</v>
      </c>
      <c r="B43" t="s">
        <v>122</v>
      </c>
      <c r="C43" t="s">
        <v>62</v>
      </c>
      <c r="D43" s="59">
        <v>0.94186046511627908</v>
      </c>
      <c r="E43" s="60">
        <v>0.8</v>
      </c>
      <c r="F43" s="61">
        <v>5</v>
      </c>
      <c r="G43" s="61">
        <v>33</v>
      </c>
    </row>
    <row r="44" spans="1:7" x14ac:dyDescent="0.35">
      <c r="A44" t="s">
        <v>126</v>
      </c>
      <c r="B44" t="s">
        <v>122</v>
      </c>
      <c r="C44" t="s">
        <v>64</v>
      </c>
      <c r="D44" s="59">
        <v>0.93604651162790697</v>
      </c>
      <c r="E44" s="60">
        <v>0.84615384615384615</v>
      </c>
      <c r="F44" s="61">
        <v>11</v>
      </c>
      <c r="G44" s="61">
        <v>67</v>
      </c>
    </row>
    <row r="45" spans="1:7" x14ac:dyDescent="0.35">
      <c r="A45" t="s">
        <v>126</v>
      </c>
      <c r="B45" t="s">
        <v>122</v>
      </c>
      <c r="C45" t="s">
        <v>66</v>
      </c>
      <c r="D45" s="59">
        <v>1</v>
      </c>
      <c r="E45" s="60">
        <v>0</v>
      </c>
      <c r="F45" s="61">
        <v>0</v>
      </c>
      <c r="G45" s="61">
        <v>53</v>
      </c>
    </row>
    <row r="46" spans="1:7" x14ac:dyDescent="0.35">
      <c r="A46" t="s">
        <v>126</v>
      </c>
      <c r="B46" t="s">
        <v>122</v>
      </c>
      <c r="C46" t="s">
        <v>68</v>
      </c>
      <c r="D46" s="59">
        <v>1</v>
      </c>
      <c r="E46" s="60">
        <v>0</v>
      </c>
      <c r="F46" s="61">
        <v>0</v>
      </c>
      <c r="G46" s="61">
        <v>79</v>
      </c>
    </row>
    <row r="47" spans="1:7" x14ac:dyDescent="0.35">
      <c r="A47" t="s">
        <v>126</v>
      </c>
      <c r="B47" t="s">
        <v>122</v>
      </c>
      <c r="C47" t="s">
        <v>62</v>
      </c>
      <c r="D47" s="59">
        <v>0.87969924812030076</v>
      </c>
      <c r="E47" s="60">
        <v>1.5609756097560976</v>
      </c>
      <c r="F47" s="61">
        <v>16</v>
      </c>
      <c r="G47" s="61">
        <v>46</v>
      </c>
    </row>
    <row r="48" spans="1:7" x14ac:dyDescent="0.35">
      <c r="A48" t="s">
        <v>128</v>
      </c>
      <c r="B48" t="s">
        <v>129</v>
      </c>
      <c r="C48" t="s">
        <v>64</v>
      </c>
      <c r="D48" s="59">
        <v>1</v>
      </c>
      <c r="E48" s="60">
        <v>0</v>
      </c>
      <c r="F48" s="61">
        <v>0</v>
      </c>
      <c r="G48" s="61">
        <v>191</v>
      </c>
    </row>
    <row r="49" spans="1:7" x14ac:dyDescent="0.35">
      <c r="A49" t="s">
        <v>128</v>
      </c>
      <c r="B49" t="s">
        <v>129</v>
      </c>
      <c r="C49" t="s">
        <v>66</v>
      </c>
      <c r="D49" s="59">
        <v>1</v>
      </c>
      <c r="E49" s="60">
        <v>0</v>
      </c>
      <c r="F49" s="61">
        <v>0</v>
      </c>
      <c r="G49" s="61">
        <v>123</v>
      </c>
    </row>
    <row r="50" spans="1:7" x14ac:dyDescent="0.35">
      <c r="A50" t="s">
        <v>128</v>
      </c>
      <c r="B50" t="s">
        <v>129</v>
      </c>
      <c r="C50" t="s">
        <v>68</v>
      </c>
      <c r="D50" s="59">
        <v>1</v>
      </c>
      <c r="E50" s="60">
        <v>0</v>
      </c>
      <c r="F50" s="61">
        <v>0</v>
      </c>
      <c r="G50" s="61">
        <v>191</v>
      </c>
    </row>
    <row r="51" spans="1:7" x14ac:dyDescent="0.35">
      <c r="A51" t="s">
        <v>128</v>
      </c>
      <c r="B51" t="s">
        <v>129</v>
      </c>
      <c r="C51" t="s">
        <v>62</v>
      </c>
      <c r="D51" s="59">
        <v>1</v>
      </c>
      <c r="E51" s="60">
        <v>0</v>
      </c>
      <c r="F51" s="61">
        <v>0</v>
      </c>
      <c r="G51" s="61">
        <v>150</v>
      </c>
    </row>
    <row r="52" spans="1:7" x14ac:dyDescent="0.35">
      <c r="A52" t="s">
        <v>133</v>
      </c>
      <c r="B52" t="s">
        <v>129</v>
      </c>
      <c r="C52" t="s">
        <v>64</v>
      </c>
      <c r="D52" s="59">
        <v>1</v>
      </c>
      <c r="E52" s="60">
        <v>0</v>
      </c>
      <c r="F52" s="61">
        <v>0</v>
      </c>
      <c r="G52" s="61">
        <v>374</v>
      </c>
    </row>
    <row r="53" spans="1:7" x14ac:dyDescent="0.35">
      <c r="A53" t="s">
        <v>133</v>
      </c>
      <c r="B53" t="s">
        <v>129</v>
      </c>
      <c r="C53" t="s">
        <v>66</v>
      </c>
      <c r="D53" s="59">
        <v>1</v>
      </c>
      <c r="E53" s="60">
        <v>0</v>
      </c>
      <c r="F53" s="61">
        <v>0</v>
      </c>
      <c r="G53" s="61">
        <v>144</v>
      </c>
    </row>
    <row r="54" spans="1:7" x14ac:dyDescent="0.35">
      <c r="A54" t="s">
        <v>133</v>
      </c>
      <c r="B54" t="s">
        <v>129</v>
      </c>
      <c r="C54" t="s">
        <v>68</v>
      </c>
      <c r="D54" s="59">
        <v>1</v>
      </c>
      <c r="E54" s="60">
        <v>0</v>
      </c>
      <c r="F54" s="61">
        <v>0</v>
      </c>
      <c r="G54" s="61">
        <v>308</v>
      </c>
    </row>
    <row r="55" spans="1:7" x14ac:dyDescent="0.35">
      <c r="A55" t="s">
        <v>133</v>
      </c>
      <c r="B55" t="s">
        <v>129</v>
      </c>
      <c r="C55" t="s">
        <v>62</v>
      </c>
      <c r="D55" s="59">
        <v>1</v>
      </c>
      <c r="E55" s="60">
        <v>0</v>
      </c>
      <c r="F55" s="61">
        <v>0</v>
      </c>
      <c r="G55" s="61">
        <v>213</v>
      </c>
    </row>
    <row r="56" spans="1:7" x14ac:dyDescent="0.35">
      <c r="A56" t="s">
        <v>141</v>
      </c>
      <c r="B56" t="s">
        <v>136</v>
      </c>
      <c r="C56" t="s">
        <v>64</v>
      </c>
      <c r="D56" s="59">
        <v>1</v>
      </c>
      <c r="E56" s="60">
        <v>0</v>
      </c>
      <c r="F56" s="61">
        <v>0</v>
      </c>
      <c r="G56" s="61">
        <v>198</v>
      </c>
    </row>
    <row r="57" spans="1:7" x14ac:dyDescent="0.35">
      <c r="A57" t="s">
        <v>141</v>
      </c>
      <c r="B57" t="s">
        <v>136</v>
      </c>
      <c r="C57" t="s">
        <v>66</v>
      </c>
      <c r="D57" s="59">
        <v>1</v>
      </c>
      <c r="E57" s="60">
        <v>0</v>
      </c>
      <c r="F57" s="61">
        <v>0</v>
      </c>
      <c r="G57" s="61">
        <v>156</v>
      </c>
    </row>
    <row r="58" spans="1:7" x14ac:dyDescent="0.35">
      <c r="A58" t="s">
        <v>141</v>
      </c>
      <c r="B58" t="s">
        <v>136</v>
      </c>
      <c r="C58" t="s">
        <v>68</v>
      </c>
      <c r="D58" s="59">
        <v>1</v>
      </c>
      <c r="E58" s="60">
        <v>0</v>
      </c>
      <c r="F58" s="61">
        <v>0</v>
      </c>
      <c r="G58" s="61">
        <v>220</v>
      </c>
    </row>
    <row r="59" spans="1:7" x14ac:dyDescent="0.35">
      <c r="A59" t="s">
        <v>141</v>
      </c>
      <c r="B59" t="s">
        <v>136</v>
      </c>
      <c r="C59" t="s">
        <v>62</v>
      </c>
      <c r="D59" s="59">
        <v>1</v>
      </c>
      <c r="E59" s="60">
        <v>0</v>
      </c>
      <c r="F59" s="61">
        <v>0</v>
      </c>
      <c r="G59" s="61">
        <v>103</v>
      </c>
    </row>
    <row r="60" spans="1:7" x14ac:dyDescent="0.35">
      <c r="A60" t="s">
        <v>135</v>
      </c>
      <c r="B60" t="s">
        <v>136</v>
      </c>
      <c r="C60" t="s">
        <v>64</v>
      </c>
      <c r="D60" s="59">
        <v>1</v>
      </c>
      <c r="E60" s="60">
        <v>0</v>
      </c>
      <c r="F60" s="61">
        <v>0</v>
      </c>
      <c r="G60" s="61">
        <v>258</v>
      </c>
    </row>
    <row r="61" spans="1:7" x14ac:dyDescent="0.35">
      <c r="A61" t="s">
        <v>135</v>
      </c>
      <c r="B61" t="s">
        <v>136</v>
      </c>
      <c r="C61" t="s">
        <v>66</v>
      </c>
      <c r="D61" s="59">
        <v>1</v>
      </c>
      <c r="E61" s="60">
        <v>0</v>
      </c>
      <c r="F61" s="61">
        <v>0</v>
      </c>
      <c r="G61" s="61">
        <v>138</v>
      </c>
    </row>
    <row r="62" spans="1:7" x14ac:dyDescent="0.35">
      <c r="A62" t="s">
        <v>135</v>
      </c>
      <c r="B62" t="s">
        <v>136</v>
      </c>
      <c r="C62" t="s">
        <v>68</v>
      </c>
      <c r="D62" s="59">
        <v>1</v>
      </c>
      <c r="E62" s="60">
        <v>0</v>
      </c>
      <c r="F62" s="61">
        <v>0</v>
      </c>
      <c r="G62" s="61">
        <v>214</v>
      </c>
    </row>
    <row r="63" spans="1:7" x14ac:dyDescent="0.35">
      <c r="A63" t="s">
        <v>135</v>
      </c>
      <c r="B63" t="s">
        <v>136</v>
      </c>
      <c r="C63" t="s">
        <v>62</v>
      </c>
      <c r="D63" s="59">
        <v>1</v>
      </c>
      <c r="E63" s="60">
        <v>0</v>
      </c>
      <c r="F63" s="61">
        <v>0</v>
      </c>
      <c r="G63" s="61">
        <v>165</v>
      </c>
    </row>
    <row r="64" spans="1:7" x14ac:dyDescent="0.35">
      <c r="A64" t="s">
        <v>139</v>
      </c>
      <c r="B64" t="s">
        <v>136</v>
      </c>
      <c r="C64" t="s">
        <v>64</v>
      </c>
      <c r="D64" s="59">
        <v>1</v>
      </c>
      <c r="E64" s="60">
        <v>0</v>
      </c>
      <c r="F64" s="61">
        <v>0</v>
      </c>
      <c r="G64" s="61">
        <v>199</v>
      </c>
    </row>
    <row r="65" spans="1:7" x14ac:dyDescent="0.35">
      <c r="A65" t="s">
        <v>139</v>
      </c>
      <c r="B65" t="s">
        <v>136</v>
      </c>
      <c r="C65" t="s">
        <v>66</v>
      </c>
      <c r="D65" s="59">
        <v>1</v>
      </c>
      <c r="E65" s="60">
        <v>0</v>
      </c>
      <c r="F65" s="61">
        <v>0</v>
      </c>
      <c r="G65" s="61">
        <v>214</v>
      </c>
    </row>
    <row r="66" spans="1:7" x14ac:dyDescent="0.35">
      <c r="A66" t="s">
        <v>139</v>
      </c>
      <c r="B66" t="s">
        <v>136</v>
      </c>
      <c r="C66" t="s">
        <v>68</v>
      </c>
      <c r="D66" s="59">
        <v>1</v>
      </c>
      <c r="E66" s="60">
        <v>0</v>
      </c>
      <c r="F66" s="61">
        <v>0</v>
      </c>
      <c r="G66" s="61">
        <v>258</v>
      </c>
    </row>
    <row r="67" spans="1:7" x14ac:dyDescent="0.35">
      <c r="A67" t="s">
        <v>139</v>
      </c>
      <c r="B67" t="s">
        <v>136</v>
      </c>
      <c r="C67" t="s">
        <v>62</v>
      </c>
      <c r="D67" s="59">
        <v>1</v>
      </c>
      <c r="E67" s="60">
        <v>0</v>
      </c>
      <c r="F67" s="61">
        <v>0</v>
      </c>
      <c r="G67" s="61">
        <v>188</v>
      </c>
    </row>
    <row r="68" spans="1:7" x14ac:dyDescent="0.35">
      <c r="A68" t="s">
        <v>145</v>
      </c>
      <c r="B68" t="s">
        <v>143</v>
      </c>
      <c r="C68" t="s">
        <v>64</v>
      </c>
      <c r="D68" s="59">
        <v>1</v>
      </c>
      <c r="E68" s="60">
        <v>0</v>
      </c>
      <c r="F68" s="61">
        <v>0</v>
      </c>
      <c r="G68" s="61">
        <v>102</v>
      </c>
    </row>
    <row r="69" spans="1:7" x14ac:dyDescent="0.35">
      <c r="A69" t="s">
        <v>145</v>
      </c>
      <c r="B69" t="s">
        <v>143</v>
      </c>
      <c r="C69" t="s">
        <v>66</v>
      </c>
      <c r="D69" s="59">
        <v>1</v>
      </c>
      <c r="E69" s="60">
        <v>0</v>
      </c>
      <c r="F69" s="61">
        <v>0</v>
      </c>
      <c r="G69" s="61">
        <v>110</v>
      </c>
    </row>
    <row r="70" spans="1:7" x14ac:dyDescent="0.35">
      <c r="A70" t="s">
        <v>145</v>
      </c>
      <c r="B70" t="s">
        <v>143</v>
      </c>
      <c r="C70" t="s">
        <v>68</v>
      </c>
      <c r="D70" s="59">
        <v>1</v>
      </c>
      <c r="E70" s="60">
        <v>0</v>
      </c>
      <c r="F70" s="61">
        <v>0</v>
      </c>
      <c r="G70" s="61">
        <v>106</v>
      </c>
    </row>
    <row r="71" spans="1:7" x14ac:dyDescent="0.35">
      <c r="A71" t="s">
        <v>145</v>
      </c>
      <c r="B71" t="s">
        <v>143</v>
      </c>
      <c r="C71" t="s">
        <v>62</v>
      </c>
      <c r="D71" s="59">
        <v>1</v>
      </c>
      <c r="E71" s="60">
        <v>0</v>
      </c>
      <c r="F71" s="61">
        <v>0</v>
      </c>
      <c r="G71" s="61">
        <v>86</v>
      </c>
    </row>
    <row r="72" spans="1:7" x14ac:dyDescent="0.35">
      <c r="A72" t="s">
        <v>142</v>
      </c>
      <c r="B72" t="s">
        <v>143</v>
      </c>
      <c r="C72" t="s">
        <v>64</v>
      </c>
      <c r="D72" s="59">
        <v>1</v>
      </c>
      <c r="E72" s="60">
        <v>0</v>
      </c>
      <c r="F72" s="61">
        <v>0</v>
      </c>
      <c r="G72" s="61">
        <v>173</v>
      </c>
    </row>
    <row r="73" spans="1:7" x14ac:dyDescent="0.35">
      <c r="A73" t="s">
        <v>142</v>
      </c>
      <c r="B73" t="s">
        <v>143</v>
      </c>
      <c r="C73" t="s">
        <v>66</v>
      </c>
      <c r="D73" s="59">
        <v>1</v>
      </c>
      <c r="E73" s="60">
        <v>0</v>
      </c>
      <c r="F73" s="61">
        <v>0</v>
      </c>
      <c r="G73" s="61">
        <v>89</v>
      </c>
    </row>
    <row r="74" spans="1:7" x14ac:dyDescent="0.35">
      <c r="A74" t="s">
        <v>142</v>
      </c>
      <c r="B74" t="s">
        <v>143</v>
      </c>
      <c r="C74" t="s">
        <v>68</v>
      </c>
      <c r="D74" s="59">
        <v>1</v>
      </c>
      <c r="E74" s="60">
        <v>0</v>
      </c>
      <c r="F74" s="61">
        <v>0</v>
      </c>
      <c r="G74" s="61">
        <v>112</v>
      </c>
    </row>
    <row r="75" spans="1:7" x14ac:dyDescent="0.35">
      <c r="A75" t="s">
        <v>142</v>
      </c>
      <c r="B75" t="s">
        <v>143</v>
      </c>
      <c r="C75" t="s">
        <v>62</v>
      </c>
      <c r="D75" s="59">
        <v>1</v>
      </c>
      <c r="E75" s="60">
        <v>0</v>
      </c>
      <c r="F75" s="61">
        <v>0</v>
      </c>
      <c r="G75" s="61">
        <v>117</v>
      </c>
    </row>
    <row r="76" spans="1:7" x14ac:dyDescent="0.35">
      <c r="A76" t="s">
        <v>150</v>
      </c>
      <c r="B76" t="s">
        <v>148</v>
      </c>
      <c r="C76" t="s">
        <v>64</v>
      </c>
      <c r="D76" s="59">
        <v>0.51020408163265307</v>
      </c>
      <c r="E76" s="60">
        <v>18.285714285714285</v>
      </c>
      <c r="F76" s="61">
        <v>96</v>
      </c>
      <c r="G76" s="61">
        <v>0</v>
      </c>
    </row>
    <row r="77" spans="1:7" x14ac:dyDescent="0.35">
      <c r="A77" t="s">
        <v>150</v>
      </c>
      <c r="B77" t="s">
        <v>148</v>
      </c>
      <c r="C77" t="s">
        <v>66</v>
      </c>
      <c r="D77" s="59">
        <v>0.49618320610687022</v>
      </c>
      <c r="E77" s="60">
        <v>20.307692307692307</v>
      </c>
      <c r="F77" s="61">
        <v>66</v>
      </c>
      <c r="G77" s="61">
        <v>0</v>
      </c>
    </row>
    <row r="78" spans="1:7" x14ac:dyDescent="0.35">
      <c r="A78" t="s">
        <v>150</v>
      </c>
      <c r="B78" t="s">
        <v>148</v>
      </c>
      <c r="C78" t="s">
        <v>68</v>
      </c>
      <c r="D78" s="59">
        <v>0.53703703703703709</v>
      </c>
      <c r="E78" s="60">
        <v>16.666666666666668</v>
      </c>
      <c r="F78" s="61">
        <v>75</v>
      </c>
      <c r="G78" s="61">
        <v>0</v>
      </c>
    </row>
    <row r="79" spans="1:7" x14ac:dyDescent="0.35">
      <c r="A79" t="s">
        <v>150</v>
      </c>
      <c r="B79" t="s">
        <v>148</v>
      </c>
      <c r="C79" t="s">
        <v>62</v>
      </c>
      <c r="D79" s="59">
        <v>0.41916167664670656</v>
      </c>
      <c r="E79" s="60">
        <v>29.846153846153847</v>
      </c>
      <c r="F79" s="61">
        <v>97</v>
      </c>
      <c r="G79" s="61">
        <v>0</v>
      </c>
    </row>
    <row r="80" spans="1:7" x14ac:dyDescent="0.35">
      <c r="A80" t="s">
        <v>147</v>
      </c>
      <c r="B80" t="s">
        <v>148</v>
      </c>
      <c r="C80" t="s">
        <v>64</v>
      </c>
      <c r="D80" s="59">
        <v>0.4585635359116022</v>
      </c>
      <c r="E80" s="60">
        <v>21.777777777777779</v>
      </c>
      <c r="F80" s="61">
        <v>98</v>
      </c>
      <c r="G80" s="61">
        <v>0</v>
      </c>
    </row>
    <row r="81" spans="1:7" x14ac:dyDescent="0.35">
      <c r="A81" t="s">
        <v>147</v>
      </c>
      <c r="B81" t="s">
        <v>148</v>
      </c>
      <c r="C81" t="s">
        <v>66</v>
      </c>
      <c r="D81" s="59">
        <v>0.49090909090909091</v>
      </c>
      <c r="E81" s="60">
        <v>24.888888888888889</v>
      </c>
      <c r="F81" s="61">
        <v>56</v>
      </c>
      <c r="G81" s="61">
        <v>0</v>
      </c>
    </row>
    <row r="82" spans="1:7" x14ac:dyDescent="0.35">
      <c r="A82" t="s">
        <v>147</v>
      </c>
      <c r="B82" t="s">
        <v>148</v>
      </c>
      <c r="C82" t="s">
        <v>68</v>
      </c>
      <c r="D82" s="59">
        <v>0.45205479452054792</v>
      </c>
      <c r="E82" s="60">
        <v>26.666666666666668</v>
      </c>
      <c r="F82" s="61">
        <v>80</v>
      </c>
      <c r="G82" s="61">
        <v>0</v>
      </c>
    </row>
    <row r="83" spans="1:7" x14ac:dyDescent="0.35">
      <c r="A83" t="s">
        <v>147</v>
      </c>
      <c r="B83" t="s">
        <v>148</v>
      </c>
      <c r="C83" t="s">
        <v>62</v>
      </c>
      <c r="D83" s="59">
        <v>0.46825396825396826</v>
      </c>
      <c r="E83" s="60">
        <v>26.8</v>
      </c>
      <c r="F83" s="61">
        <v>67</v>
      </c>
      <c r="G83" s="61">
        <v>0</v>
      </c>
    </row>
    <row r="84" spans="1:7" x14ac:dyDescent="0.35">
      <c r="A84" t="s">
        <v>152</v>
      </c>
      <c r="B84" t="s">
        <v>153</v>
      </c>
      <c r="C84" t="s">
        <v>64</v>
      </c>
      <c r="D84" s="59">
        <v>0.43137254901960786</v>
      </c>
      <c r="E84" s="60">
        <v>30.933333333333334</v>
      </c>
      <c r="F84" s="61">
        <v>116</v>
      </c>
      <c r="G84" s="61">
        <v>0</v>
      </c>
    </row>
    <row r="85" spans="1:7" x14ac:dyDescent="0.35">
      <c r="A85" t="s">
        <v>152</v>
      </c>
      <c r="B85" t="s">
        <v>153</v>
      </c>
      <c r="C85" t="s">
        <v>66</v>
      </c>
      <c r="D85" s="59">
        <v>0.50450450450450446</v>
      </c>
      <c r="E85" s="60">
        <v>22</v>
      </c>
      <c r="F85" s="61">
        <v>55</v>
      </c>
      <c r="G85" s="61">
        <v>0</v>
      </c>
    </row>
    <row r="86" spans="1:7" x14ac:dyDescent="0.35">
      <c r="A86" t="s">
        <v>152</v>
      </c>
      <c r="B86" t="s">
        <v>153</v>
      </c>
      <c r="C86" t="s">
        <v>68</v>
      </c>
      <c r="D86" s="59">
        <v>0.5</v>
      </c>
      <c r="E86" s="60">
        <v>17.111111111111111</v>
      </c>
      <c r="F86" s="61">
        <v>77</v>
      </c>
      <c r="G86" s="61">
        <v>0</v>
      </c>
    </row>
    <row r="87" spans="1:7" x14ac:dyDescent="0.35">
      <c r="A87" t="s">
        <v>152</v>
      </c>
      <c r="B87" t="s">
        <v>153</v>
      </c>
      <c r="C87" t="s">
        <v>62</v>
      </c>
      <c r="D87" s="59">
        <v>0.46308724832214765</v>
      </c>
      <c r="E87" s="60">
        <v>22.857142857142858</v>
      </c>
      <c r="F87" s="61">
        <v>80</v>
      </c>
      <c r="G87" s="61">
        <v>0</v>
      </c>
    </row>
    <row r="88" spans="1:7" x14ac:dyDescent="0.35">
      <c r="A88" t="s">
        <v>156</v>
      </c>
      <c r="B88" t="s">
        <v>153</v>
      </c>
      <c r="C88" t="s">
        <v>64</v>
      </c>
      <c r="D88" s="59">
        <v>0.47906976744186047</v>
      </c>
      <c r="E88" s="60">
        <v>22.4</v>
      </c>
      <c r="F88" s="61">
        <v>112</v>
      </c>
      <c r="G88" s="61">
        <v>0</v>
      </c>
    </row>
    <row r="89" spans="1:7" x14ac:dyDescent="0.35">
      <c r="A89" t="s">
        <v>156</v>
      </c>
      <c r="B89" t="s">
        <v>153</v>
      </c>
      <c r="C89" t="s">
        <v>66</v>
      </c>
      <c r="D89" s="59">
        <v>0.43661971830985913</v>
      </c>
      <c r="E89" s="60">
        <v>26.666666666666668</v>
      </c>
      <c r="F89" s="61">
        <v>80</v>
      </c>
      <c r="G89" s="61">
        <v>0</v>
      </c>
    </row>
    <row r="90" spans="1:7" x14ac:dyDescent="0.35">
      <c r="A90" t="s">
        <v>156</v>
      </c>
      <c r="B90" t="s">
        <v>153</v>
      </c>
      <c r="C90" t="s">
        <v>68</v>
      </c>
      <c r="D90" s="59">
        <v>0.4642857142857143</v>
      </c>
      <c r="E90" s="60">
        <v>22.105263157894736</v>
      </c>
      <c r="F90" s="61">
        <v>105</v>
      </c>
      <c r="G90" s="61">
        <v>0</v>
      </c>
    </row>
    <row r="91" spans="1:7" x14ac:dyDescent="0.35">
      <c r="A91" t="s">
        <v>156</v>
      </c>
      <c r="B91" t="s">
        <v>153</v>
      </c>
      <c r="C91" t="s">
        <v>62</v>
      </c>
      <c r="D91" s="59">
        <v>0.391812865497076</v>
      </c>
      <c r="E91" s="60">
        <v>32</v>
      </c>
      <c r="F91" s="61">
        <v>104</v>
      </c>
      <c r="G91" s="61">
        <v>0</v>
      </c>
    </row>
    <row r="92" spans="1:7" x14ac:dyDescent="0.35">
      <c r="A92" t="s">
        <v>158</v>
      </c>
      <c r="B92" t="s">
        <v>159</v>
      </c>
      <c r="C92" t="s">
        <v>64</v>
      </c>
      <c r="D92" s="59">
        <v>0.45023696682464454</v>
      </c>
      <c r="E92" s="60">
        <v>23.2</v>
      </c>
      <c r="F92" s="61">
        <v>116</v>
      </c>
      <c r="G92" s="61">
        <v>0</v>
      </c>
    </row>
    <row r="93" spans="1:7" x14ac:dyDescent="0.35">
      <c r="A93" t="s">
        <v>158</v>
      </c>
      <c r="B93" t="s">
        <v>159</v>
      </c>
      <c r="C93" t="s">
        <v>66</v>
      </c>
      <c r="D93" s="59">
        <v>0.42222222222222222</v>
      </c>
      <c r="E93" s="60">
        <v>26</v>
      </c>
      <c r="F93" s="61">
        <v>78</v>
      </c>
      <c r="G93" s="61">
        <v>0</v>
      </c>
    </row>
    <row r="94" spans="1:7" x14ac:dyDescent="0.35">
      <c r="A94" t="s">
        <v>158</v>
      </c>
      <c r="B94" t="s">
        <v>159</v>
      </c>
      <c r="C94" t="s">
        <v>68</v>
      </c>
      <c r="D94" s="59">
        <v>0.50306748466257667</v>
      </c>
      <c r="E94" s="60">
        <v>20.25</v>
      </c>
      <c r="F94" s="61">
        <v>81</v>
      </c>
      <c r="G94" s="61">
        <v>0</v>
      </c>
    </row>
    <row r="95" spans="1:7" x14ac:dyDescent="0.35">
      <c r="A95" t="s">
        <v>158</v>
      </c>
      <c r="B95" t="s">
        <v>159</v>
      </c>
      <c r="C95" t="s">
        <v>62</v>
      </c>
      <c r="D95" s="59">
        <v>0.4391891891891892</v>
      </c>
      <c r="E95" s="60">
        <v>22.133333333333333</v>
      </c>
      <c r="F95" s="61">
        <v>83</v>
      </c>
      <c r="G95" s="61">
        <v>0</v>
      </c>
    </row>
    <row r="96" spans="1:7" x14ac:dyDescent="0.35">
      <c r="A96" t="s">
        <v>163</v>
      </c>
      <c r="B96" t="s">
        <v>159</v>
      </c>
      <c r="C96" t="s">
        <v>64</v>
      </c>
      <c r="D96" s="59">
        <v>0.43934426229508194</v>
      </c>
      <c r="E96" s="60">
        <v>23.586206896551722</v>
      </c>
      <c r="F96" s="61">
        <v>171</v>
      </c>
      <c r="G96" s="61">
        <v>0</v>
      </c>
    </row>
    <row r="97" spans="1:7" x14ac:dyDescent="0.35">
      <c r="A97" t="s">
        <v>163</v>
      </c>
      <c r="B97" t="s">
        <v>159</v>
      </c>
      <c r="C97" t="s">
        <v>66</v>
      </c>
      <c r="D97" s="59">
        <v>0.52121212121212124</v>
      </c>
      <c r="E97" s="60">
        <v>19.75</v>
      </c>
      <c r="F97" s="61">
        <v>79</v>
      </c>
      <c r="G97" s="61">
        <v>0</v>
      </c>
    </row>
    <row r="98" spans="1:7" x14ac:dyDescent="0.35">
      <c r="A98" t="s">
        <v>163</v>
      </c>
      <c r="B98" t="s">
        <v>159</v>
      </c>
      <c r="C98" t="s">
        <v>68</v>
      </c>
      <c r="D98" s="59">
        <v>0.43656716417910446</v>
      </c>
      <c r="E98" s="60">
        <v>26.260869565217391</v>
      </c>
      <c r="F98" s="61">
        <v>151</v>
      </c>
      <c r="G98" s="61">
        <v>0</v>
      </c>
    </row>
    <row r="99" spans="1:7" x14ac:dyDescent="0.35">
      <c r="A99" t="s">
        <v>163</v>
      </c>
      <c r="B99" t="s">
        <v>159</v>
      </c>
      <c r="C99" t="s">
        <v>62</v>
      </c>
      <c r="D99" s="59">
        <v>0.46086956521739131</v>
      </c>
      <c r="E99" s="60">
        <v>19.84</v>
      </c>
      <c r="F99" s="61">
        <v>124</v>
      </c>
      <c r="G99" s="61">
        <v>0</v>
      </c>
    </row>
    <row r="100" spans="1:7" x14ac:dyDescent="0.35">
      <c r="A100" t="s">
        <v>161</v>
      </c>
      <c r="B100" t="s">
        <v>159</v>
      </c>
      <c r="C100" t="s">
        <v>64</v>
      </c>
      <c r="D100" s="59">
        <v>0.46071428571428569</v>
      </c>
      <c r="E100" s="60">
        <v>24.16</v>
      </c>
      <c r="F100" s="61">
        <v>151</v>
      </c>
      <c r="G100" s="61">
        <v>0</v>
      </c>
    </row>
    <row r="101" spans="1:7" x14ac:dyDescent="0.35">
      <c r="A101" t="s">
        <v>161</v>
      </c>
      <c r="B101" t="s">
        <v>159</v>
      </c>
      <c r="C101" t="s">
        <v>66</v>
      </c>
      <c r="D101" s="59">
        <v>0.43915343915343913</v>
      </c>
      <c r="E101" s="60">
        <v>23.555555555555557</v>
      </c>
      <c r="F101" s="61">
        <v>106</v>
      </c>
      <c r="G101" s="61">
        <v>0</v>
      </c>
    </row>
    <row r="102" spans="1:7" x14ac:dyDescent="0.35">
      <c r="A102" t="s">
        <v>161</v>
      </c>
      <c r="B102" t="s">
        <v>159</v>
      </c>
      <c r="C102" t="s">
        <v>68</v>
      </c>
      <c r="D102" s="59">
        <v>0.44150943396226416</v>
      </c>
      <c r="E102" s="60">
        <v>24.666666666666668</v>
      </c>
      <c r="F102" s="61">
        <v>148</v>
      </c>
      <c r="G102" s="61">
        <v>0</v>
      </c>
    </row>
    <row r="103" spans="1:7" x14ac:dyDescent="0.35">
      <c r="A103" t="s">
        <v>161</v>
      </c>
      <c r="B103" t="s">
        <v>159</v>
      </c>
      <c r="C103" t="s">
        <v>62</v>
      </c>
      <c r="D103" s="59">
        <v>0.49549549549549549</v>
      </c>
      <c r="E103" s="60">
        <v>20.363636363636363</v>
      </c>
      <c r="F103" s="61">
        <v>112</v>
      </c>
      <c r="G103" s="61">
        <v>0</v>
      </c>
    </row>
    <row r="104" spans="1:7" x14ac:dyDescent="0.35">
      <c r="A104" t="s">
        <v>168</v>
      </c>
      <c r="B104" t="s">
        <v>166</v>
      </c>
      <c r="C104" t="s">
        <v>64</v>
      </c>
      <c r="D104" s="59">
        <v>0.66847826086956519</v>
      </c>
      <c r="E104" s="60">
        <v>6.2564102564102564</v>
      </c>
      <c r="F104" s="61">
        <v>61</v>
      </c>
      <c r="G104" s="61">
        <v>0</v>
      </c>
    </row>
    <row r="105" spans="1:7" x14ac:dyDescent="0.35">
      <c r="A105" t="s">
        <v>168</v>
      </c>
      <c r="B105" t="s">
        <v>166</v>
      </c>
      <c r="C105" t="s">
        <v>66</v>
      </c>
      <c r="D105" s="59">
        <v>0.7407407407407407</v>
      </c>
      <c r="E105" s="60">
        <v>4.1481481481481479</v>
      </c>
      <c r="F105" s="61">
        <v>28</v>
      </c>
      <c r="G105" s="61">
        <v>0</v>
      </c>
    </row>
    <row r="106" spans="1:7" x14ac:dyDescent="0.35">
      <c r="A106" t="s">
        <v>168</v>
      </c>
      <c r="B106" t="s">
        <v>166</v>
      </c>
      <c r="C106" t="s">
        <v>68</v>
      </c>
      <c r="D106" s="59">
        <v>0.79389312977099236</v>
      </c>
      <c r="E106" s="60">
        <v>3.1764705882352939</v>
      </c>
      <c r="F106" s="61">
        <v>27</v>
      </c>
      <c r="G106" s="61">
        <v>0</v>
      </c>
    </row>
    <row r="107" spans="1:7" x14ac:dyDescent="0.35">
      <c r="A107" t="s">
        <v>168</v>
      </c>
      <c r="B107" t="s">
        <v>166</v>
      </c>
      <c r="C107" t="s">
        <v>62</v>
      </c>
      <c r="D107" s="59">
        <v>0.66412213740458015</v>
      </c>
      <c r="E107" s="60">
        <v>5.67741935483871</v>
      </c>
      <c r="F107" s="61">
        <v>44</v>
      </c>
      <c r="G107" s="61">
        <v>0</v>
      </c>
    </row>
    <row r="108" spans="1:7" x14ac:dyDescent="0.35">
      <c r="A108" t="s">
        <v>165</v>
      </c>
      <c r="B108" t="s">
        <v>166</v>
      </c>
      <c r="C108" t="s">
        <v>64</v>
      </c>
      <c r="D108" s="59">
        <v>0.81151832460732987</v>
      </c>
      <c r="E108" s="60">
        <v>2.9387755102040818</v>
      </c>
      <c r="F108" s="61">
        <v>36</v>
      </c>
      <c r="G108" s="61">
        <v>38</v>
      </c>
    </row>
    <row r="109" spans="1:7" x14ac:dyDescent="0.35">
      <c r="A109" t="s">
        <v>165</v>
      </c>
      <c r="B109" t="s">
        <v>166</v>
      </c>
      <c r="C109" t="s">
        <v>66</v>
      </c>
      <c r="D109" s="59">
        <v>0.73913043478260865</v>
      </c>
      <c r="E109" s="60">
        <v>4</v>
      </c>
      <c r="F109" s="61">
        <v>30</v>
      </c>
      <c r="G109" s="61">
        <v>0</v>
      </c>
    </row>
    <row r="110" spans="1:7" x14ac:dyDescent="0.35">
      <c r="A110" t="s">
        <v>165</v>
      </c>
      <c r="B110" t="s">
        <v>166</v>
      </c>
      <c r="C110" t="s">
        <v>68</v>
      </c>
      <c r="D110" s="59">
        <v>0.6983240223463687</v>
      </c>
      <c r="E110" s="60">
        <v>5.2682926829268295</v>
      </c>
      <c r="F110" s="61">
        <v>54</v>
      </c>
      <c r="G110" s="61">
        <v>0</v>
      </c>
    </row>
    <row r="111" spans="1:7" x14ac:dyDescent="0.35">
      <c r="A111" t="s">
        <v>165</v>
      </c>
      <c r="B111" t="s">
        <v>166</v>
      </c>
      <c r="C111" t="s">
        <v>62</v>
      </c>
      <c r="D111" s="59">
        <v>0.76158940397350994</v>
      </c>
      <c r="E111" s="60">
        <v>4.1142857142857139</v>
      </c>
      <c r="F111" s="61">
        <v>36</v>
      </c>
      <c r="G111" s="61">
        <v>0</v>
      </c>
    </row>
    <row r="112" spans="1:7" x14ac:dyDescent="0.35">
      <c r="A112" t="s">
        <v>169</v>
      </c>
      <c r="B112" t="s">
        <v>166</v>
      </c>
      <c r="C112" t="s">
        <v>64</v>
      </c>
      <c r="D112" s="59">
        <v>0.7192982456140351</v>
      </c>
      <c r="E112" s="60">
        <v>4.1739130434782608</v>
      </c>
      <c r="F112" s="61">
        <v>48</v>
      </c>
      <c r="G112" s="61">
        <v>0</v>
      </c>
    </row>
    <row r="113" spans="1:7" x14ac:dyDescent="0.35">
      <c r="A113" t="s">
        <v>169</v>
      </c>
      <c r="B113" t="s">
        <v>166</v>
      </c>
      <c r="C113" t="s">
        <v>66</v>
      </c>
      <c r="D113" s="59">
        <v>0.68695652173913047</v>
      </c>
      <c r="E113" s="60">
        <v>5.5384615384615383</v>
      </c>
      <c r="F113" s="61">
        <v>36</v>
      </c>
      <c r="G113" s="61">
        <v>0</v>
      </c>
    </row>
    <row r="114" spans="1:7" x14ac:dyDescent="0.35">
      <c r="A114" t="s">
        <v>169</v>
      </c>
      <c r="B114" t="s">
        <v>166</v>
      </c>
      <c r="C114" t="s">
        <v>68</v>
      </c>
      <c r="D114" s="59">
        <v>0.73381294964028776</v>
      </c>
      <c r="E114" s="60">
        <v>4.1111111111111107</v>
      </c>
      <c r="F114" s="61">
        <v>37</v>
      </c>
      <c r="G114" s="61">
        <v>0</v>
      </c>
    </row>
    <row r="115" spans="1:7" x14ac:dyDescent="0.35">
      <c r="A115" t="s">
        <v>169</v>
      </c>
      <c r="B115" t="s">
        <v>166</v>
      </c>
      <c r="C115" t="s">
        <v>62</v>
      </c>
      <c r="D115" s="59">
        <v>0.625</v>
      </c>
      <c r="E115" s="60">
        <v>7.1111111111111107</v>
      </c>
      <c r="F115" s="61">
        <v>48</v>
      </c>
      <c r="G115" s="61">
        <v>0</v>
      </c>
    </row>
    <row r="116" spans="1:7" x14ac:dyDescent="0.35">
      <c r="A116" t="s">
        <v>175</v>
      </c>
      <c r="B116" t="s">
        <v>172</v>
      </c>
      <c r="C116" t="s">
        <v>64</v>
      </c>
      <c r="D116" s="59">
        <v>0.74496644295302017</v>
      </c>
      <c r="E116" s="60">
        <v>4.3428571428571425</v>
      </c>
      <c r="F116" s="61">
        <v>38</v>
      </c>
      <c r="G116" s="61">
        <v>0</v>
      </c>
    </row>
    <row r="117" spans="1:7" x14ac:dyDescent="0.35">
      <c r="A117" t="s">
        <v>175</v>
      </c>
      <c r="B117" t="s">
        <v>172</v>
      </c>
      <c r="C117" t="s">
        <v>66</v>
      </c>
      <c r="D117" s="59">
        <v>0.73737373737373735</v>
      </c>
      <c r="E117" s="60">
        <v>3.8518518518518516</v>
      </c>
      <c r="F117" s="61">
        <v>26</v>
      </c>
      <c r="G117" s="61">
        <v>0</v>
      </c>
    </row>
    <row r="118" spans="1:7" x14ac:dyDescent="0.35">
      <c r="A118" t="s">
        <v>175</v>
      </c>
      <c r="B118" t="s">
        <v>172</v>
      </c>
      <c r="C118" t="s">
        <v>68</v>
      </c>
      <c r="D118" s="59">
        <v>0.7279411764705882</v>
      </c>
      <c r="E118" s="60">
        <v>4.4848484848484844</v>
      </c>
      <c r="F118" s="61">
        <v>37</v>
      </c>
      <c r="G118" s="61">
        <v>0</v>
      </c>
    </row>
    <row r="119" spans="1:7" x14ac:dyDescent="0.35">
      <c r="A119" t="s">
        <v>175</v>
      </c>
      <c r="B119" t="s">
        <v>172</v>
      </c>
      <c r="C119" t="s">
        <v>62</v>
      </c>
      <c r="D119" s="59">
        <v>0.77876106194690264</v>
      </c>
      <c r="E119" s="60">
        <v>3.3333333333333335</v>
      </c>
      <c r="F119" s="61">
        <v>25</v>
      </c>
      <c r="G119" s="61">
        <v>0</v>
      </c>
    </row>
    <row r="120" spans="1:7" x14ac:dyDescent="0.35">
      <c r="A120" t="s">
        <v>171</v>
      </c>
      <c r="B120" t="s">
        <v>172</v>
      </c>
      <c r="C120" t="s">
        <v>64</v>
      </c>
      <c r="D120" s="59">
        <v>0.78205128205128205</v>
      </c>
      <c r="E120" s="60">
        <v>3.4</v>
      </c>
      <c r="F120" s="61">
        <v>34</v>
      </c>
      <c r="G120" s="61">
        <v>0</v>
      </c>
    </row>
    <row r="121" spans="1:7" x14ac:dyDescent="0.35">
      <c r="A121" t="s">
        <v>171</v>
      </c>
      <c r="B121" t="s">
        <v>172</v>
      </c>
      <c r="C121" t="s">
        <v>66</v>
      </c>
      <c r="D121" s="59">
        <v>0.67647058823529416</v>
      </c>
      <c r="E121" s="60">
        <v>5.7391304347826084</v>
      </c>
      <c r="F121" s="61">
        <v>33</v>
      </c>
      <c r="G121" s="61">
        <v>0</v>
      </c>
    </row>
    <row r="122" spans="1:7" x14ac:dyDescent="0.35">
      <c r="A122" t="s">
        <v>171</v>
      </c>
      <c r="B122" t="s">
        <v>172</v>
      </c>
      <c r="C122" t="s">
        <v>68</v>
      </c>
      <c r="D122" s="59">
        <v>0.72602739726027399</v>
      </c>
      <c r="E122" s="60">
        <v>4.3243243243243246</v>
      </c>
      <c r="F122" s="61">
        <v>40</v>
      </c>
      <c r="G122" s="61">
        <v>0</v>
      </c>
    </row>
    <row r="123" spans="1:7" x14ac:dyDescent="0.35">
      <c r="A123" t="s">
        <v>171</v>
      </c>
      <c r="B123" t="s">
        <v>172</v>
      </c>
      <c r="C123" t="s">
        <v>62</v>
      </c>
      <c r="D123" s="59">
        <v>0.74137931034482762</v>
      </c>
      <c r="E123" s="60">
        <v>4.4444444444444446</v>
      </c>
      <c r="F123" s="61">
        <v>30</v>
      </c>
      <c r="G123" s="61">
        <v>0</v>
      </c>
    </row>
    <row r="124" spans="1:7" x14ac:dyDescent="0.35">
      <c r="A124" t="s">
        <v>220</v>
      </c>
      <c r="D124" s="59">
        <v>0.80938488865962444</v>
      </c>
      <c r="E124" s="60">
        <v>6.4841502522764385</v>
      </c>
      <c r="F124" s="61">
        <v>3866</v>
      </c>
      <c r="G124" s="61">
        <v>7672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showGridLines="0" zoomScaleNormal="100" workbookViewId="0">
      <selection activeCell="A20" sqref="A20"/>
    </sheetView>
  </sheetViews>
  <sheetFormatPr defaultColWidth="8.6328125" defaultRowHeight="14.5" x14ac:dyDescent="0.35"/>
  <cols>
    <col min="1" max="1" width="46" customWidth="1"/>
    <col min="2" max="2" width="14" customWidth="1"/>
    <col min="3" max="3" width="60" customWidth="1"/>
  </cols>
  <sheetData>
    <row r="1" spans="1:3" ht="19" x14ac:dyDescent="0.4">
      <c r="A1" s="25" t="s">
        <v>77</v>
      </c>
    </row>
    <row r="2" spans="1:3" x14ac:dyDescent="0.35">
      <c r="A2" s="26" t="s">
        <v>78</v>
      </c>
    </row>
    <row r="4" spans="1:3" x14ac:dyDescent="0.35">
      <c r="A4" s="27" t="s">
        <v>7</v>
      </c>
      <c r="B4" s="27" t="s">
        <v>79</v>
      </c>
      <c r="C4" s="27" t="s">
        <v>80</v>
      </c>
    </row>
    <row r="5" spans="1:3" x14ac:dyDescent="0.35">
      <c r="A5" s="28" t="s">
        <v>81</v>
      </c>
      <c r="B5" s="29">
        <v>0.8</v>
      </c>
      <c r="C5" s="30" t="s">
        <v>82</v>
      </c>
    </row>
    <row r="6" spans="1:3" x14ac:dyDescent="0.35">
      <c r="A6" s="28" t="s">
        <v>19</v>
      </c>
      <c r="B6" s="29">
        <v>0.6</v>
      </c>
      <c r="C6" s="30" t="s">
        <v>83</v>
      </c>
    </row>
    <row r="7" spans="1:3" x14ac:dyDescent="0.35">
      <c r="A7" s="28" t="s">
        <v>84</v>
      </c>
      <c r="B7" s="31">
        <v>3</v>
      </c>
      <c r="C7" s="30" t="s">
        <v>85</v>
      </c>
    </row>
    <row r="8" spans="1:3" x14ac:dyDescent="0.35">
      <c r="A8" s="28" t="s">
        <v>86</v>
      </c>
      <c r="B8" s="31">
        <v>8</v>
      </c>
      <c r="C8" s="30" t="s">
        <v>87</v>
      </c>
    </row>
    <row r="9" spans="1:3" x14ac:dyDescent="0.35">
      <c r="A9" s="28" t="s">
        <v>88</v>
      </c>
      <c r="B9" s="31">
        <v>6</v>
      </c>
      <c r="C9" s="30" t="s">
        <v>89</v>
      </c>
    </row>
    <row r="10" spans="1:3" x14ac:dyDescent="0.35">
      <c r="A10" s="28" t="s">
        <v>90</v>
      </c>
      <c r="B10" s="31">
        <v>2</v>
      </c>
      <c r="C10" s="30" t="s">
        <v>91</v>
      </c>
    </row>
    <row r="11" spans="1:3" x14ac:dyDescent="0.35">
      <c r="A11" s="28" t="s">
        <v>92</v>
      </c>
      <c r="B11" s="32">
        <v>4</v>
      </c>
      <c r="C11" s="30" t="s">
        <v>93</v>
      </c>
    </row>
    <row r="12" spans="1:3" x14ac:dyDescent="0.35">
      <c r="A12" s="28" t="s">
        <v>94</v>
      </c>
      <c r="B12" s="32">
        <v>12</v>
      </c>
      <c r="C12" s="30" t="s">
        <v>95</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1"/>
  <sheetViews>
    <sheetView zoomScaleNormal="100" workbookViewId="0">
      <pane ySplit="1" topLeftCell="A2" activePane="bottomLeft" state="frozen"/>
      <selection pane="bottomLeft"/>
    </sheetView>
  </sheetViews>
  <sheetFormatPr defaultColWidth="8.6328125" defaultRowHeight="14.5" x14ac:dyDescent="0.35"/>
  <cols>
    <col min="1" max="1" width="14" customWidth="1"/>
    <col min="2" max="2" width="26" customWidth="1"/>
    <col min="3" max="3" width="10" customWidth="1"/>
    <col min="4" max="4" width="12" customWidth="1"/>
    <col min="5" max="5" width="14" customWidth="1"/>
    <col min="6" max="7" width="12" customWidth="1"/>
  </cols>
  <sheetData>
    <row r="1" spans="1:7" x14ac:dyDescent="0.35">
      <c r="A1" s="33" t="s">
        <v>71</v>
      </c>
      <c r="B1" s="33" t="s">
        <v>72</v>
      </c>
      <c r="C1" s="33" t="s">
        <v>96</v>
      </c>
      <c r="D1" s="33" t="s">
        <v>59</v>
      </c>
      <c r="E1" s="33" t="s">
        <v>73</v>
      </c>
      <c r="F1" s="33" t="s">
        <v>97</v>
      </c>
      <c r="G1" s="33" t="s">
        <v>98</v>
      </c>
    </row>
    <row r="2" spans="1:7" x14ac:dyDescent="0.35">
      <c r="A2" s="34" t="s">
        <v>99</v>
      </c>
      <c r="B2" s="34" t="s">
        <v>100</v>
      </c>
      <c r="C2" s="35" t="s">
        <v>101</v>
      </c>
      <c r="D2" s="34" t="s">
        <v>65</v>
      </c>
      <c r="E2" s="34" t="s">
        <v>102</v>
      </c>
      <c r="F2" s="35" t="s">
        <v>103</v>
      </c>
      <c r="G2" s="36">
        <v>17.989999999999998</v>
      </c>
    </row>
    <row r="3" spans="1:7" x14ac:dyDescent="0.35">
      <c r="A3" s="34" t="s">
        <v>104</v>
      </c>
      <c r="B3" s="34" t="s">
        <v>100</v>
      </c>
      <c r="C3" s="35" t="s">
        <v>101</v>
      </c>
      <c r="D3" s="34" t="s">
        <v>65</v>
      </c>
      <c r="E3" s="34" t="s">
        <v>105</v>
      </c>
      <c r="F3" s="35" t="s">
        <v>103</v>
      </c>
      <c r="G3" s="36">
        <v>17.989999999999998</v>
      </c>
    </row>
    <row r="4" spans="1:7" x14ac:dyDescent="0.35">
      <c r="A4" s="34" t="s">
        <v>106</v>
      </c>
      <c r="B4" s="34" t="s">
        <v>100</v>
      </c>
      <c r="C4" s="35" t="s">
        <v>101</v>
      </c>
      <c r="D4" s="34" t="s">
        <v>65</v>
      </c>
      <c r="E4" s="34" t="s">
        <v>107</v>
      </c>
      <c r="F4" s="35" t="s">
        <v>103</v>
      </c>
      <c r="G4" s="36">
        <v>17.989999999999998</v>
      </c>
    </row>
    <row r="5" spans="1:7" x14ac:dyDescent="0.35">
      <c r="A5" s="34" t="s">
        <v>108</v>
      </c>
      <c r="B5" s="34" t="s">
        <v>109</v>
      </c>
      <c r="C5" s="35" t="s">
        <v>110</v>
      </c>
      <c r="D5" s="34" t="s">
        <v>67</v>
      </c>
      <c r="E5" s="34" t="s">
        <v>111</v>
      </c>
      <c r="F5" s="35" t="s">
        <v>103</v>
      </c>
      <c r="G5" s="36">
        <v>39.99</v>
      </c>
    </row>
    <row r="6" spans="1:7" x14ac:dyDescent="0.35">
      <c r="A6" s="34" t="s">
        <v>112</v>
      </c>
      <c r="B6" s="34" t="s">
        <v>109</v>
      </c>
      <c r="C6" s="35" t="s">
        <v>110</v>
      </c>
      <c r="D6" s="34" t="s">
        <v>67</v>
      </c>
      <c r="E6" s="34" t="s">
        <v>113</v>
      </c>
      <c r="F6" s="35" t="s">
        <v>103</v>
      </c>
      <c r="G6" s="36">
        <v>39.99</v>
      </c>
    </row>
    <row r="7" spans="1:7" x14ac:dyDescent="0.35">
      <c r="A7" s="34" t="s">
        <v>114</v>
      </c>
      <c r="B7" s="34" t="s">
        <v>109</v>
      </c>
      <c r="C7" s="35" t="s">
        <v>110</v>
      </c>
      <c r="D7" s="34" t="s">
        <v>67</v>
      </c>
      <c r="E7" s="34" t="s">
        <v>115</v>
      </c>
      <c r="F7" s="35" t="s">
        <v>103</v>
      </c>
      <c r="G7" s="36">
        <v>39.99</v>
      </c>
    </row>
    <row r="8" spans="1:7" x14ac:dyDescent="0.35">
      <c r="A8" s="34" t="s">
        <v>116</v>
      </c>
      <c r="B8" s="34" t="s">
        <v>117</v>
      </c>
      <c r="C8" s="35" t="s">
        <v>118</v>
      </c>
      <c r="D8" s="34" t="s">
        <v>69</v>
      </c>
      <c r="E8" s="34" t="s">
        <v>102</v>
      </c>
      <c r="F8" s="35" t="s">
        <v>103</v>
      </c>
      <c r="G8" s="36">
        <v>44.99</v>
      </c>
    </row>
    <row r="9" spans="1:7" x14ac:dyDescent="0.35">
      <c r="A9" s="34" t="s">
        <v>119</v>
      </c>
      <c r="B9" s="34" t="s">
        <v>117</v>
      </c>
      <c r="C9" s="35" t="s">
        <v>118</v>
      </c>
      <c r="D9" s="34" t="s">
        <v>69</v>
      </c>
      <c r="E9" s="34" t="s">
        <v>120</v>
      </c>
      <c r="F9" s="35" t="s">
        <v>103</v>
      </c>
      <c r="G9" s="36">
        <v>44.99</v>
      </c>
    </row>
    <row r="10" spans="1:7" x14ac:dyDescent="0.35">
      <c r="A10" s="34" t="s">
        <v>121</v>
      </c>
      <c r="B10" s="34" t="s">
        <v>122</v>
      </c>
      <c r="C10" s="35" t="s">
        <v>123</v>
      </c>
      <c r="D10" s="34" t="s">
        <v>67</v>
      </c>
      <c r="E10" s="34" t="s">
        <v>102</v>
      </c>
      <c r="F10" s="35" t="s">
        <v>103</v>
      </c>
      <c r="G10" s="36">
        <v>34.99</v>
      </c>
    </row>
    <row r="11" spans="1:7" x14ac:dyDescent="0.35">
      <c r="A11" s="34" t="s">
        <v>124</v>
      </c>
      <c r="B11" s="34" t="s">
        <v>122</v>
      </c>
      <c r="C11" s="35" t="s">
        <v>123</v>
      </c>
      <c r="D11" s="34" t="s">
        <v>67</v>
      </c>
      <c r="E11" s="34" t="s">
        <v>125</v>
      </c>
      <c r="F11" s="35" t="s">
        <v>103</v>
      </c>
      <c r="G11" s="36">
        <v>34.99</v>
      </c>
    </row>
    <row r="12" spans="1:7" x14ac:dyDescent="0.35">
      <c r="A12" s="34" t="s">
        <v>126</v>
      </c>
      <c r="B12" s="34" t="s">
        <v>122</v>
      </c>
      <c r="C12" s="35" t="s">
        <v>123</v>
      </c>
      <c r="D12" s="34" t="s">
        <v>67</v>
      </c>
      <c r="E12" s="34" t="s">
        <v>127</v>
      </c>
      <c r="F12" s="35" t="s">
        <v>103</v>
      </c>
      <c r="G12" s="36">
        <v>34.99</v>
      </c>
    </row>
    <row r="13" spans="1:7" x14ac:dyDescent="0.35">
      <c r="A13" s="34" t="s">
        <v>128</v>
      </c>
      <c r="B13" s="34" t="s">
        <v>129</v>
      </c>
      <c r="C13" s="35" t="s">
        <v>130</v>
      </c>
      <c r="D13" s="34" t="s">
        <v>63</v>
      </c>
      <c r="E13" s="34" t="s">
        <v>131</v>
      </c>
      <c r="F13" s="35" t="s">
        <v>132</v>
      </c>
      <c r="G13" s="36">
        <v>49.99</v>
      </c>
    </row>
    <row r="14" spans="1:7" x14ac:dyDescent="0.35">
      <c r="A14" s="34" t="s">
        <v>133</v>
      </c>
      <c r="B14" s="34" t="s">
        <v>129</v>
      </c>
      <c r="C14" s="35" t="s">
        <v>130</v>
      </c>
      <c r="D14" s="34" t="s">
        <v>63</v>
      </c>
      <c r="E14" s="34" t="s">
        <v>134</v>
      </c>
      <c r="F14" s="35" t="s">
        <v>132</v>
      </c>
      <c r="G14" s="36">
        <v>49.99</v>
      </c>
    </row>
    <row r="15" spans="1:7" x14ac:dyDescent="0.35">
      <c r="A15" s="34" t="s">
        <v>135</v>
      </c>
      <c r="B15" s="34" t="s">
        <v>136</v>
      </c>
      <c r="C15" s="35" t="s">
        <v>137</v>
      </c>
      <c r="D15" s="34" t="s">
        <v>63</v>
      </c>
      <c r="E15" s="34" t="s">
        <v>138</v>
      </c>
      <c r="F15" s="35" t="s">
        <v>132</v>
      </c>
      <c r="G15" s="36">
        <v>45.99</v>
      </c>
    </row>
    <row r="16" spans="1:7" x14ac:dyDescent="0.35">
      <c r="A16" s="34" t="s">
        <v>139</v>
      </c>
      <c r="B16" s="34" t="s">
        <v>136</v>
      </c>
      <c r="C16" s="35" t="s">
        <v>137</v>
      </c>
      <c r="D16" s="34" t="s">
        <v>63</v>
      </c>
      <c r="E16" s="34" t="s">
        <v>140</v>
      </c>
      <c r="F16" s="35" t="s">
        <v>132</v>
      </c>
      <c r="G16" s="36">
        <v>45.99</v>
      </c>
    </row>
    <row r="17" spans="1:7" x14ac:dyDescent="0.35">
      <c r="A17" s="34" t="s">
        <v>141</v>
      </c>
      <c r="B17" s="34" t="s">
        <v>136</v>
      </c>
      <c r="C17" s="35" t="s">
        <v>137</v>
      </c>
      <c r="D17" s="34" t="s">
        <v>63</v>
      </c>
      <c r="E17" s="34" t="s">
        <v>102</v>
      </c>
      <c r="F17" s="35" t="s">
        <v>132</v>
      </c>
      <c r="G17" s="36">
        <v>45.99</v>
      </c>
    </row>
    <row r="18" spans="1:7" x14ac:dyDescent="0.35">
      <c r="A18" s="34" t="s">
        <v>142</v>
      </c>
      <c r="B18" s="34" t="s">
        <v>143</v>
      </c>
      <c r="C18" s="35" t="s">
        <v>144</v>
      </c>
      <c r="D18" s="34" t="s">
        <v>65</v>
      </c>
      <c r="E18" s="34" t="s">
        <v>105</v>
      </c>
      <c r="F18" s="35" t="s">
        <v>132</v>
      </c>
      <c r="G18" s="36">
        <v>32.99</v>
      </c>
    </row>
    <row r="19" spans="1:7" x14ac:dyDescent="0.35">
      <c r="A19" s="34" t="s">
        <v>145</v>
      </c>
      <c r="B19" s="34" t="s">
        <v>143</v>
      </c>
      <c r="C19" s="35" t="s">
        <v>144</v>
      </c>
      <c r="D19" s="34" t="s">
        <v>65</v>
      </c>
      <c r="E19" s="34" t="s">
        <v>146</v>
      </c>
      <c r="F19" s="35" t="s">
        <v>132</v>
      </c>
      <c r="G19" s="36">
        <v>32.99</v>
      </c>
    </row>
    <row r="20" spans="1:7" x14ac:dyDescent="0.35">
      <c r="A20" s="34" t="s">
        <v>147</v>
      </c>
      <c r="B20" s="34" t="s">
        <v>148</v>
      </c>
      <c r="C20" s="35" t="s">
        <v>149</v>
      </c>
      <c r="D20" s="34" t="s">
        <v>65</v>
      </c>
      <c r="E20" s="34" t="s">
        <v>105</v>
      </c>
      <c r="F20" s="35" t="s">
        <v>132</v>
      </c>
      <c r="G20" s="36">
        <v>29.99</v>
      </c>
    </row>
    <row r="21" spans="1:7" x14ac:dyDescent="0.35">
      <c r="A21" s="34" t="s">
        <v>150</v>
      </c>
      <c r="B21" s="34" t="s">
        <v>148</v>
      </c>
      <c r="C21" s="35" t="s">
        <v>149</v>
      </c>
      <c r="D21" s="34" t="s">
        <v>65</v>
      </c>
      <c r="E21" s="34" t="s">
        <v>151</v>
      </c>
      <c r="F21" s="35" t="s">
        <v>132</v>
      </c>
      <c r="G21" s="36">
        <v>29.99</v>
      </c>
    </row>
    <row r="22" spans="1:7" x14ac:dyDescent="0.35">
      <c r="A22" s="34" t="s">
        <v>152</v>
      </c>
      <c r="B22" s="34" t="s">
        <v>153</v>
      </c>
      <c r="C22" s="35" t="s">
        <v>154</v>
      </c>
      <c r="D22" s="34" t="s">
        <v>63</v>
      </c>
      <c r="E22" s="34" t="s">
        <v>155</v>
      </c>
      <c r="F22" s="35" t="s">
        <v>132</v>
      </c>
      <c r="G22" s="36">
        <v>42.99</v>
      </c>
    </row>
    <row r="23" spans="1:7" x14ac:dyDescent="0.35">
      <c r="A23" s="34" t="s">
        <v>156</v>
      </c>
      <c r="B23" s="34" t="s">
        <v>153</v>
      </c>
      <c r="C23" s="35" t="s">
        <v>154</v>
      </c>
      <c r="D23" s="34" t="s">
        <v>63</v>
      </c>
      <c r="E23" s="34" t="s">
        <v>157</v>
      </c>
      <c r="F23" s="35" t="s">
        <v>132</v>
      </c>
      <c r="G23" s="36">
        <v>42.99</v>
      </c>
    </row>
    <row r="24" spans="1:7" x14ac:dyDescent="0.35">
      <c r="A24" s="34" t="s">
        <v>158</v>
      </c>
      <c r="B24" s="34" t="s">
        <v>159</v>
      </c>
      <c r="C24" s="35" t="s">
        <v>160</v>
      </c>
      <c r="D24" s="34" t="s">
        <v>70</v>
      </c>
      <c r="E24" s="34" t="s">
        <v>102</v>
      </c>
      <c r="F24" s="35" t="s">
        <v>132</v>
      </c>
      <c r="G24" s="36">
        <v>59.99</v>
      </c>
    </row>
    <row r="25" spans="1:7" x14ac:dyDescent="0.35">
      <c r="A25" s="34" t="s">
        <v>161</v>
      </c>
      <c r="B25" s="34" t="s">
        <v>159</v>
      </c>
      <c r="C25" s="35" t="s">
        <v>160</v>
      </c>
      <c r="D25" s="34" t="s">
        <v>70</v>
      </c>
      <c r="E25" s="34" t="s">
        <v>162</v>
      </c>
      <c r="F25" s="35" t="s">
        <v>132</v>
      </c>
      <c r="G25" s="36">
        <v>59.99</v>
      </c>
    </row>
    <row r="26" spans="1:7" x14ac:dyDescent="0.35">
      <c r="A26" s="34" t="s">
        <v>163</v>
      </c>
      <c r="B26" s="34" t="s">
        <v>159</v>
      </c>
      <c r="C26" s="35" t="s">
        <v>160</v>
      </c>
      <c r="D26" s="34" t="s">
        <v>70</v>
      </c>
      <c r="E26" s="34" t="s">
        <v>164</v>
      </c>
      <c r="F26" s="35" t="s">
        <v>132</v>
      </c>
      <c r="G26" s="36">
        <v>59.99</v>
      </c>
    </row>
    <row r="27" spans="1:7" x14ac:dyDescent="0.35">
      <c r="A27" s="34" t="s">
        <v>165</v>
      </c>
      <c r="B27" s="34" t="s">
        <v>166</v>
      </c>
      <c r="C27" s="35" t="s">
        <v>167</v>
      </c>
      <c r="D27" s="34" t="s">
        <v>69</v>
      </c>
      <c r="E27" s="34" t="s">
        <v>111</v>
      </c>
      <c r="F27" s="35" t="s">
        <v>132</v>
      </c>
      <c r="G27" s="36">
        <v>41.99</v>
      </c>
    </row>
    <row r="28" spans="1:7" x14ac:dyDescent="0.35">
      <c r="A28" s="34" t="s">
        <v>168</v>
      </c>
      <c r="B28" s="34" t="s">
        <v>166</v>
      </c>
      <c r="C28" s="35" t="s">
        <v>167</v>
      </c>
      <c r="D28" s="34" t="s">
        <v>69</v>
      </c>
      <c r="E28" s="34" t="s">
        <v>102</v>
      </c>
      <c r="F28" s="35" t="s">
        <v>132</v>
      </c>
      <c r="G28" s="36">
        <v>41.99</v>
      </c>
    </row>
    <row r="29" spans="1:7" x14ac:dyDescent="0.35">
      <c r="A29" s="34" t="s">
        <v>169</v>
      </c>
      <c r="B29" s="34" t="s">
        <v>166</v>
      </c>
      <c r="C29" s="35" t="s">
        <v>167</v>
      </c>
      <c r="D29" s="34" t="s">
        <v>69</v>
      </c>
      <c r="E29" s="34" t="s">
        <v>170</v>
      </c>
      <c r="F29" s="35" t="s">
        <v>132</v>
      </c>
      <c r="G29" s="36">
        <v>41.99</v>
      </c>
    </row>
    <row r="30" spans="1:7" x14ac:dyDescent="0.35">
      <c r="A30" s="34" t="s">
        <v>171</v>
      </c>
      <c r="B30" s="34" t="s">
        <v>172</v>
      </c>
      <c r="C30" s="35" t="s">
        <v>173</v>
      </c>
      <c r="D30" s="34" t="s">
        <v>70</v>
      </c>
      <c r="E30" s="34" t="s">
        <v>174</v>
      </c>
      <c r="F30" s="35" t="s">
        <v>132</v>
      </c>
      <c r="G30" s="36">
        <v>79.989999999999995</v>
      </c>
    </row>
    <row r="31" spans="1:7" x14ac:dyDescent="0.35">
      <c r="A31" s="34" t="s">
        <v>175</v>
      </c>
      <c r="B31" s="34" t="s">
        <v>172</v>
      </c>
      <c r="C31" s="35" t="s">
        <v>173</v>
      </c>
      <c r="D31" s="34" t="s">
        <v>70</v>
      </c>
      <c r="E31" s="34" t="s">
        <v>176</v>
      </c>
      <c r="F31" s="35" t="s">
        <v>132</v>
      </c>
      <c r="G31" s="36">
        <v>79.989999999999995</v>
      </c>
    </row>
  </sheetData>
  <autoFilter ref="A1:G31" xr:uid="{00000000-0009-0000-0000-000003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441"/>
  <sheetViews>
    <sheetView zoomScaleNormal="100" workbookViewId="0">
      <pane ySplit="1" topLeftCell="A2" activePane="bottomLeft" state="frozen"/>
      <selection pane="bottomLeft" activeCell="G4" sqref="G4"/>
    </sheetView>
  </sheetViews>
  <sheetFormatPr defaultColWidth="8.6328125" defaultRowHeight="14.5" x14ac:dyDescent="0.35"/>
  <cols>
    <col min="1" max="1" width="8" customWidth="1"/>
    <col min="2" max="2" width="14" customWidth="1"/>
    <col min="3" max="3" width="17" customWidth="1"/>
    <col min="4" max="4" width="13" customWidth="1"/>
    <col min="5" max="5" width="11" customWidth="1"/>
    <col min="6" max="7" width="13" customWidth="1"/>
  </cols>
  <sheetData>
    <row r="1" spans="1:7" ht="27.75" customHeight="1" x14ac:dyDescent="0.35">
      <c r="A1" s="37" t="s">
        <v>76</v>
      </c>
      <c r="B1" s="37" t="s">
        <v>71</v>
      </c>
      <c r="C1" s="37" t="s">
        <v>52</v>
      </c>
      <c r="D1" s="37" t="s">
        <v>177</v>
      </c>
      <c r="E1" s="37" t="s">
        <v>178</v>
      </c>
      <c r="F1" s="37" t="s">
        <v>179</v>
      </c>
      <c r="G1" s="37" t="s">
        <v>180</v>
      </c>
    </row>
    <row r="2" spans="1:7" x14ac:dyDescent="0.35">
      <c r="A2" s="21">
        <v>1</v>
      </c>
      <c r="B2" s="38" t="s">
        <v>99</v>
      </c>
      <c r="C2" s="38" t="s">
        <v>62</v>
      </c>
      <c r="D2" s="39">
        <v>198</v>
      </c>
      <c r="E2" s="39">
        <v>19</v>
      </c>
      <c r="F2" s="18">
        <f>IF(A2=1,0,G1)</f>
        <v>0</v>
      </c>
      <c r="G2" s="18">
        <f t="shared" ref="G2:G65" si="0">F2+D2-E2</f>
        <v>179</v>
      </c>
    </row>
    <row r="3" spans="1:7" x14ac:dyDescent="0.35">
      <c r="A3" s="21">
        <v>2</v>
      </c>
      <c r="B3" s="38" t="s">
        <v>99</v>
      </c>
      <c r="C3" s="38" t="s">
        <v>62</v>
      </c>
      <c r="D3" s="39">
        <v>0</v>
      </c>
      <c r="E3" s="39">
        <v>18</v>
      </c>
      <c r="F3" s="18">
        <f>IF(A3=1,0,G2)</f>
        <v>179</v>
      </c>
      <c r="G3" s="18">
        <f>F3+D3-E3</f>
        <v>161</v>
      </c>
    </row>
    <row r="4" spans="1:7" x14ac:dyDescent="0.35">
      <c r="A4" s="21">
        <v>3</v>
      </c>
      <c r="B4" s="38" t="s">
        <v>99</v>
      </c>
      <c r="C4" s="38" t="s">
        <v>62</v>
      </c>
      <c r="D4" s="39">
        <v>0</v>
      </c>
      <c r="E4" s="39">
        <v>12</v>
      </c>
      <c r="F4" s="18">
        <f t="shared" ref="F2:F65" si="1">IF(A4=1,0,G3)</f>
        <v>161</v>
      </c>
      <c r="G4" s="18">
        <f t="shared" si="0"/>
        <v>149</v>
      </c>
    </row>
    <row r="5" spans="1:7" x14ac:dyDescent="0.35">
      <c r="A5" s="21">
        <v>4</v>
      </c>
      <c r="B5" s="38" t="s">
        <v>99</v>
      </c>
      <c r="C5" s="38" t="s">
        <v>62</v>
      </c>
      <c r="D5" s="39">
        <v>0</v>
      </c>
      <c r="E5" s="39">
        <v>20</v>
      </c>
      <c r="F5" s="18">
        <f t="shared" si="1"/>
        <v>149</v>
      </c>
      <c r="G5" s="18">
        <f t="shared" si="0"/>
        <v>129</v>
      </c>
    </row>
    <row r="6" spans="1:7" x14ac:dyDescent="0.35">
      <c r="A6" s="21">
        <v>5</v>
      </c>
      <c r="B6" s="38" t="s">
        <v>99</v>
      </c>
      <c r="C6" s="38" t="s">
        <v>62</v>
      </c>
      <c r="D6" s="39">
        <v>0</v>
      </c>
      <c r="E6" s="39">
        <v>18</v>
      </c>
      <c r="F6" s="18">
        <f t="shared" si="1"/>
        <v>129</v>
      </c>
      <c r="G6" s="18">
        <f t="shared" si="0"/>
        <v>111</v>
      </c>
    </row>
    <row r="7" spans="1:7" x14ac:dyDescent="0.35">
      <c r="A7" s="21">
        <v>6</v>
      </c>
      <c r="B7" s="38" t="s">
        <v>99</v>
      </c>
      <c r="C7" s="38" t="s">
        <v>62</v>
      </c>
      <c r="D7" s="39">
        <v>0</v>
      </c>
      <c r="E7" s="39">
        <v>19</v>
      </c>
      <c r="F7" s="18">
        <f t="shared" si="1"/>
        <v>111</v>
      </c>
      <c r="G7" s="18">
        <f t="shared" si="0"/>
        <v>92</v>
      </c>
    </row>
    <row r="8" spans="1:7" x14ac:dyDescent="0.35">
      <c r="A8" s="21">
        <v>7</v>
      </c>
      <c r="B8" s="38" t="s">
        <v>99</v>
      </c>
      <c r="C8" s="38" t="s">
        <v>62</v>
      </c>
      <c r="D8" s="39">
        <v>0</v>
      </c>
      <c r="E8" s="39">
        <v>12</v>
      </c>
      <c r="F8" s="18">
        <f t="shared" si="1"/>
        <v>92</v>
      </c>
      <c r="G8" s="18">
        <f t="shared" si="0"/>
        <v>80</v>
      </c>
    </row>
    <row r="9" spans="1:7" x14ac:dyDescent="0.35">
      <c r="A9" s="21">
        <v>8</v>
      </c>
      <c r="B9" s="38" t="s">
        <v>99</v>
      </c>
      <c r="C9" s="38" t="s">
        <v>62</v>
      </c>
      <c r="D9" s="39">
        <v>0</v>
      </c>
      <c r="E9" s="39">
        <v>15</v>
      </c>
      <c r="F9" s="18">
        <f t="shared" si="1"/>
        <v>80</v>
      </c>
      <c r="G9" s="18">
        <f t="shared" si="0"/>
        <v>65</v>
      </c>
    </row>
    <row r="10" spans="1:7" x14ac:dyDescent="0.35">
      <c r="A10" s="21">
        <v>9</v>
      </c>
      <c r="B10" s="38" t="s">
        <v>99</v>
      </c>
      <c r="C10" s="38" t="s">
        <v>62</v>
      </c>
      <c r="D10" s="39">
        <v>0</v>
      </c>
      <c r="E10" s="39">
        <v>15</v>
      </c>
      <c r="F10" s="18">
        <f t="shared" si="1"/>
        <v>65</v>
      </c>
      <c r="G10" s="18">
        <f t="shared" si="0"/>
        <v>50</v>
      </c>
    </row>
    <row r="11" spans="1:7" x14ac:dyDescent="0.35">
      <c r="A11" s="21">
        <v>10</v>
      </c>
      <c r="B11" s="38" t="s">
        <v>99</v>
      </c>
      <c r="C11" s="38" t="s">
        <v>62</v>
      </c>
      <c r="D11" s="39">
        <v>0</v>
      </c>
      <c r="E11" s="39">
        <v>20</v>
      </c>
      <c r="F11" s="18">
        <f t="shared" si="1"/>
        <v>50</v>
      </c>
      <c r="G11" s="18">
        <f t="shared" si="0"/>
        <v>30</v>
      </c>
    </row>
    <row r="12" spans="1:7" x14ac:dyDescent="0.35">
      <c r="A12" s="21">
        <v>11</v>
      </c>
      <c r="B12" s="38" t="s">
        <v>99</v>
      </c>
      <c r="C12" s="38" t="s">
        <v>62</v>
      </c>
      <c r="D12" s="39">
        <v>0</v>
      </c>
      <c r="E12" s="39">
        <v>17</v>
      </c>
      <c r="F12" s="18">
        <f t="shared" si="1"/>
        <v>30</v>
      </c>
      <c r="G12" s="18">
        <f t="shared" si="0"/>
        <v>13</v>
      </c>
    </row>
    <row r="13" spans="1:7" x14ac:dyDescent="0.35">
      <c r="A13" s="21">
        <v>12</v>
      </c>
      <c r="B13" s="38" t="s">
        <v>99</v>
      </c>
      <c r="C13" s="38" t="s">
        <v>62</v>
      </c>
      <c r="D13" s="39">
        <v>0</v>
      </c>
      <c r="E13" s="39">
        <v>13</v>
      </c>
      <c r="F13" s="18">
        <f t="shared" si="1"/>
        <v>13</v>
      </c>
      <c r="G13" s="18">
        <f t="shared" si="0"/>
        <v>0</v>
      </c>
    </row>
    <row r="14" spans="1:7" x14ac:dyDescent="0.35">
      <c r="A14" s="21">
        <v>1</v>
      </c>
      <c r="B14" s="38" t="s">
        <v>99</v>
      </c>
      <c r="C14" s="38" t="s">
        <v>64</v>
      </c>
      <c r="D14" s="39">
        <v>268</v>
      </c>
      <c r="E14" s="39">
        <v>18</v>
      </c>
      <c r="F14" s="18">
        <f t="shared" si="1"/>
        <v>0</v>
      </c>
      <c r="G14" s="18">
        <f t="shared" si="0"/>
        <v>250</v>
      </c>
    </row>
    <row r="15" spans="1:7" x14ac:dyDescent="0.35">
      <c r="A15" s="21">
        <v>2</v>
      </c>
      <c r="B15" s="38" t="s">
        <v>99</v>
      </c>
      <c r="C15" s="38" t="s">
        <v>64</v>
      </c>
      <c r="D15" s="39">
        <v>0</v>
      </c>
      <c r="E15" s="39">
        <v>22</v>
      </c>
      <c r="F15" s="18">
        <f t="shared" si="1"/>
        <v>250</v>
      </c>
      <c r="G15" s="18">
        <f t="shared" si="0"/>
        <v>228</v>
      </c>
    </row>
    <row r="16" spans="1:7" x14ac:dyDescent="0.35">
      <c r="A16" s="21">
        <v>3</v>
      </c>
      <c r="B16" s="38" t="s">
        <v>99</v>
      </c>
      <c r="C16" s="38" t="s">
        <v>64</v>
      </c>
      <c r="D16" s="39">
        <v>0</v>
      </c>
      <c r="E16" s="39">
        <v>16</v>
      </c>
      <c r="F16" s="18">
        <f t="shared" si="1"/>
        <v>228</v>
      </c>
      <c r="G16" s="18">
        <f t="shared" si="0"/>
        <v>212</v>
      </c>
    </row>
    <row r="17" spans="1:7" x14ac:dyDescent="0.35">
      <c r="A17" s="21">
        <v>4</v>
      </c>
      <c r="B17" s="38" t="s">
        <v>99</v>
      </c>
      <c r="C17" s="38" t="s">
        <v>64</v>
      </c>
      <c r="D17" s="39">
        <v>0</v>
      </c>
      <c r="E17" s="39">
        <v>26</v>
      </c>
      <c r="F17" s="18">
        <f t="shared" si="1"/>
        <v>212</v>
      </c>
      <c r="G17" s="18">
        <f t="shared" si="0"/>
        <v>186</v>
      </c>
    </row>
    <row r="18" spans="1:7" x14ac:dyDescent="0.35">
      <c r="A18" s="21">
        <v>5</v>
      </c>
      <c r="B18" s="38" t="s">
        <v>99</v>
      </c>
      <c r="C18" s="38" t="s">
        <v>64</v>
      </c>
      <c r="D18" s="39">
        <v>0</v>
      </c>
      <c r="E18" s="39">
        <v>23</v>
      </c>
      <c r="F18" s="18">
        <f t="shared" si="1"/>
        <v>186</v>
      </c>
      <c r="G18" s="18">
        <f t="shared" si="0"/>
        <v>163</v>
      </c>
    </row>
    <row r="19" spans="1:7" x14ac:dyDescent="0.35">
      <c r="A19" s="21">
        <v>6</v>
      </c>
      <c r="B19" s="38" t="s">
        <v>99</v>
      </c>
      <c r="C19" s="38" t="s">
        <v>64</v>
      </c>
      <c r="D19" s="39">
        <v>0</v>
      </c>
      <c r="E19" s="39">
        <v>25</v>
      </c>
      <c r="F19" s="18">
        <f t="shared" si="1"/>
        <v>163</v>
      </c>
      <c r="G19" s="18">
        <f t="shared" si="0"/>
        <v>138</v>
      </c>
    </row>
    <row r="20" spans="1:7" x14ac:dyDescent="0.35">
      <c r="A20" s="21">
        <v>7</v>
      </c>
      <c r="B20" s="38" t="s">
        <v>99</v>
      </c>
      <c r="C20" s="38" t="s">
        <v>64</v>
      </c>
      <c r="D20" s="39">
        <v>0</v>
      </c>
      <c r="E20" s="39">
        <v>20</v>
      </c>
      <c r="F20" s="18">
        <f t="shared" si="1"/>
        <v>138</v>
      </c>
      <c r="G20" s="18">
        <f t="shared" si="0"/>
        <v>118</v>
      </c>
    </row>
    <row r="21" spans="1:7" x14ac:dyDescent="0.35">
      <c r="A21" s="21">
        <v>8</v>
      </c>
      <c r="B21" s="38" t="s">
        <v>99</v>
      </c>
      <c r="C21" s="38" t="s">
        <v>64</v>
      </c>
      <c r="D21" s="39">
        <v>0</v>
      </c>
      <c r="E21" s="39">
        <v>28</v>
      </c>
      <c r="F21" s="18">
        <f t="shared" si="1"/>
        <v>118</v>
      </c>
      <c r="G21" s="18">
        <f t="shared" si="0"/>
        <v>90</v>
      </c>
    </row>
    <row r="22" spans="1:7" x14ac:dyDescent="0.35">
      <c r="A22" s="21">
        <v>9</v>
      </c>
      <c r="B22" s="38" t="s">
        <v>99</v>
      </c>
      <c r="C22" s="38" t="s">
        <v>64</v>
      </c>
      <c r="D22" s="39">
        <v>0</v>
      </c>
      <c r="E22" s="39">
        <v>27</v>
      </c>
      <c r="F22" s="18">
        <f t="shared" si="1"/>
        <v>90</v>
      </c>
      <c r="G22" s="18">
        <f t="shared" si="0"/>
        <v>63</v>
      </c>
    </row>
    <row r="23" spans="1:7" x14ac:dyDescent="0.35">
      <c r="A23" s="21">
        <v>10</v>
      </c>
      <c r="B23" s="38" t="s">
        <v>99</v>
      </c>
      <c r="C23" s="38" t="s">
        <v>64</v>
      </c>
      <c r="D23" s="39">
        <v>0</v>
      </c>
      <c r="E23" s="39">
        <v>25</v>
      </c>
      <c r="F23" s="18">
        <f t="shared" si="1"/>
        <v>63</v>
      </c>
      <c r="G23" s="18">
        <f t="shared" si="0"/>
        <v>38</v>
      </c>
    </row>
    <row r="24" spans="1:7" x14ac:dyDescent="0.35">
      <c r="A24" s="21">
        <v>11</v>
      </c>
      <c r="B24" s="38" t="s">
        <v>99</v>
      </c>
      <c r="C24" s="38" t="s">
        <v>64</v>
      </c>
      <c r="D24" s="39">
        <v>0</v>
      </c>
      <c r="E24" s="39">
        <v>18</v>
      </c>
      <c r="F24" s="18">
        <f t="shared" si="1"/>
        <v>38</v>
      </c>
      <c r="G24" s="18">
        <f t="shared" si="0"/>
        <v>20</v>
      </c>
    </row>
    <row r="25" spans="1:7" x14ac:dyDescent="0.35">
      <c r="A25" s="21">
        <v>12</v>
      </c>
      <c r="B25" s="38" t="s">
        <v>99</v>
      </c>
      <c r="C25" s="38" t="s">
        <v>64</v>
      </c>
      <c r="D25" s="39">
        <v>0</v>
      </c>
      <c r="E25" s="39">
        <v>20</v>
      </c>
      <c r="F25" s="18">
        <f t="shared" si="1"/>
        <v>20</v>
      </c>
      <c r="G25" s="18">
        <f t="shared" si="0"/>
        <v>0</v>
      </c>
    </row>
    <row r="26" spans="1:7" x14ac:dyDescent="0.35">
      <c r="A26" s="21">
        <v>1</v>
      </c>
      <c r="B26" s="38" t="s">
        <v>99</v>
      </c>
      <c r="C26" s="38" t="s">
        <v>66</v>
      </c>
      <c r="D26" s="39">
        <v>155</v>
      </c>
      <c r="E26" s="39">
        <v>11</v>
      </c>
      <c r="F26" s="18">
        <f t="shared" si="1"/>
        <v>0</v>
      </c>
      <c r="G26" s="18">
        <f t="shared" si="0"/>
        <v>144</v>
      </c>
    </row>
    <row r="27" spans="1:7" x14ac:dyDescent="0.35">
      <c r="A27" s="21">
        <v>2</v>
      </c>
      <c r="B27" s="38" t="s">
        <v>99</v>
      </c>
      <c r="C27" s="38" t="s">
        <v>66</v>
      </c>
      <c r="D27" s="39">
        <v>0</v>
      </c>
      <c r="E27" s="39">
        <v>15</v>
      </c>
      <c r="F27" s="18">
        <f t="shared" si="1"/>
        <v>144</v>
      </c>
      <c r="G27" s="18">
        <f t="shared" si="0"/>
        <v>129</v>
      </c>
    </row>
    <row r="28" spans="1:7" x14ac:dyDescent="0.35">
      <c r="A28" s="21">
        <v>3</v>
      </c>
      <c r="B28" s="38" t="s">
        <v>99</v>
      </c>
      <c r="C28" s="38" t="s">
        <v>66</v>
      </c>
      <c r="D28" s="39">
        <v>0</v>
      </c>
      <c r="E28" s="39">
        <v>16</v>
      </c>
      <c r="F28" s="18">
        <f t="shared" si="1"/>
        <v>129</v>
      </c>
      <c r="G28" s="18">
        <f t="shared" si="0"/>
        <v>113</v>
      </c>
    </row>
    <row r="29" spans="1:7" x14ac:dyDescent="0.35">
      <c r="A29" s="21">
        <v>4</v>
      </c>
      <c r="B29" s="38" t="s">
        <v>99</v>
      </c>
      <c r="C29" s="38" t="s">
        <v>66</v>
      </c>
      <c r="D29" s="39">
        <v>0</v>
      </c>
      <c r="E29" s="39">
        <v>17</v>
      </c>
      <c r="F29" s="18">
        <f t="shared" si="1"/>
        <v>113</v>
      </c>
      <c r="G29" s="18">
        <f t="shared" si="0"/>
        <v>96</v>
      </c>
    </row>
    <row r="30" spans="1:7" x14ac:dyDescent="0.35">
      <c r="A30" s="21">
        <v>5</v>
      </c>
      <c r="B30" s="38" t="s">
        <v>99</v>
      </c>
      <c r="C30" s="38" t="s">
        <v>66</v>
      </c>
      <c r="D30" s="39">
        <v>0</v>
      </c>
      <c r="E30" s="39">
        <v>12</v>
      </c>
      <c r="F30" s="18">
        <f t="shared" si="1"/>
        <v>96</v>
      </c>
      <c r="G30" s="18">
        <f t="shared" si="0"/>
        <v>84</v>
      </c>
    </row>
    <row r="31" spans="1:7" x14ac:dyDescent="0.35">
      <c r="A31" s="21">
        <v>6</v>
      </c>
      <c r="B31" s="38" t="s">
        <v>99</v>
      </c>
      <c r="C31" s="38" t="s">
        <v>66</v>
      </c>
      <c r="D31" s="39">
        <v>0</v>
      </c>
      <c r="E31" s="39">
        <v>12</v>
      </c>
      <c r="F31" s="18">
        <f t="shared" si="1"/>
        <v>84</v>
      </c>
      <c r="G31" s="18">
        <f t="shared" si="0"/>
        <v>72</v>
      </c>
    </row>
    <row r="32" spans="1:7" x14ac:dyDescent="0.35">
      <c r="A32" s="21">
        <v>7</v>
      </c>
      <c r="B32" s="38" t="s">
        <v>99</v>
      </c>
      <c r="C32" s="38" t="s">
        <v>66</v>
      </c>
      <c r="D32" s="39">
        <v>0</v>
      </c>
      <c r="E32" s="39">
        <v>13</v>
      </c>
      <c r="F32" s="18">
        <f t="shared" si="1"/>
        <v>72</v>
      </c>
      <c r="G32" s="18">
        <f t="shared" si="0"/>
        <v>59</v>
      </c>
    </row>
    <row r="33" spans="1:7" x14ac:dyDescent="0.35">
      <c r="A33" s="21">
        <v>8</v>
      </c>
      <c r="B33" s="38" t="s">
        <v>99</v>
      </c>
      <c r="C33" s="38" t="s">
        <v>66</v>
      </c>
      <c r="D33" s="39">
        <v>0</v>
      </c>
      <c r="E33" s="39">
        <v>11</v>
      </c>
      <c r="F33" s="18">
        <f t="shared" si="1"/>
        <v>59</v>
      </c>
      <c r="G33" s="18">
        <f t="shared" si="0"/>
        <v>48</v>
      </c>
    </row>
    <row r="34" spans="1:7" x14ac:dyDescent="0.35">
      <c r="A34" s="21">
        <v>9</v>
      </c>
      <c r="B34" s="38" t="s">
        <v>99</v>
      </c>
      <c r="C34" s="38" t="s">
        <v>66</v>
      </c>
      <c r="D34" s="39">
        <v>0</v>
      </c>
      <c r="E34" s="39">
        <v>11</v>
      </c>
      <c r="F34" s="18">
        <f t="shared" si="1"/>
        <v>48</v>
      </c>
      <c r="G34" s="18">
        <f t="shared" si="0"/>
        <v>37</v>
      </c>
    </row>
    <row r="35" spans="1:7" x14ac:dyDescent="0.35">
      <c r="A35" s="21">
        <v>10</v>
      </c>
      <c r="B35" s="38" t="s">
        <v>99</v>
      </c>
      <c r="C35" s="38" t="s">
        <v>66</v>
      </c>
      <c r="D35" s="39">
        <v>0</v>
      </c>
      <c r="E35" s="39">
        <v>13</v>
      </c>
      <c r="F35" s="18">
        <f t="shared" si="1"/>
        <v>37</v>
      </c>
      <c r="G35" s="18">
        <f t="shared" si="0"/>
        <v>24</v>
      </c>
    </row>
    <row r="36" spans="1:7" x14ac:dyDescent="0.35">
      <c r="A36" s="21">
        <v>11</v>
      </c>
      <c r="B36" s="38" t="s">
        <v>99</v>
      </c>
      <c r="C36" s="38" t="s">
        <v>66</v>
      </c>
      <c r="D36" s="39">
        <v>0</v>
      </c>
      <c r="E36" s="39">
        <v>11</v>
      </c>
      <c r="F36" s="18">
        <f t="shared" si="1"/>
        <v>24</v>
      </c>
      <c r="G36" s="18">
        <f t="shared" si="0"/>
        <v>13</v>
      </c>
    </row>
    <row r="37" spans="1:7" x14ac:dyDescent="0.35">
      <c r="A37" s="21">
        <v>12</v>
      </c>
      <c r="B37" s="38" t="s">
        <v>99</v>
      </c>
      <c r="C37" s="38" t="s">
        <v>66</v>
      </c>
      <c r="D37" s="39">
        <v>0</v>
      </c>
      <c r="E37" s="39">
        <v>13</v>
      </c>
      <c r="F37" s="18">
        <f t="shared" si="1"/>
        <v>13</v>
      </c>
      <c r="G37" s="18">
        <f t="shared" si="0"/>
        <v>0</v>
      </c>
    </row>
    <row r="38" spans="1:7" x14ac:dyDescent="0.35">
      <c r="A38" s="21">
        <v>1</v>
      </c>
      <c r="B38" s="38" t="s">
        <v>99</v>
      </c>
      <c r="C38" s="38" t="s">
        <v>68</v>
      </c>
      <c r="D38" s="39">
        <v>228</v>
      </c>
      <c r="E38" s="39">
        <v>22</v>
      </c>
      <c r="F38" s="18">
        <f t="shared" si="1"/>
        <v>0</v>
      </c>
      <c r="G38" s="18">
        <f t="shared" si="0"/>
        <v>206</v>
      </c>
    </row>
    <row r="39" spans="1:7" x14ac:dyDescent="0.35">
      <c r="A39" s="21">
        <v>2</v>
      </c>
      <c r="B39" s="38" t="s">
        <v>99</v>
      </c>
      <c r="C39" s="38" t="s">
        <v>68</v>
      </c>
      <c r="D39" s="39">
        <v>0</v>
      </c>
      <c r="E39" s="39">
        <v>21</v>
      </c>
      <c r="F39" s="18">
        <f t="shared" si="1"/>
        <v>206</v>
      </c>
      <c r="G39" s="18">
        <f t="shared" si="0"/>
        <v>185</v>
      </c>
    </row>
    <row r="40" spans="1:7" x14ac:dyDescent="0.35">
      <c r="A40" s="21">
        <v>3</v>
      </c>
      <c r="B40" s="38" t="s">
        <v>99</v>
      </c>
      <c r="C40" s="38" t="s">
        <v>68</v>
      </c>
      <c r="D40" s="39">
        <v>0</v>
      </c>
      <c r="E40" s="39">
        <v>16</v>
      </c>
      <c r="F40" s="18">
        <f t="shared" si="1"/>
        <v>185</v>
      </c>
      <c r="G40" s="18">
        <f t="shared" si="0"/>
        <v>169</v>
      </c>
    </row>
    <row r="41" spans="1:7" x14ac:dyDescent="0.35">
      <c r="A41" s="21">
        <v>4</v>
      </c>
      <c r="B41" s="38" t="s">
        <v>99</v>
      </c>
      <c r="C41" s="38" t="s">
        <v>68</v>
      </c>
      <c r="D41" s="39">
        <v>0</v>
      </c>
      <c r="E41" s="39">
        <v>22</v>
      </c>
      <c r="F41" s="18">
        <f t="shared" si="1"/>
        <v>169</v>
      </c>
      <c r="G41" s="18">
        <f t="shared" si="0"/>
        <v>147</v>
      </c>
    </row>
    <row r="42" spans="1:7" x14ac:dyDescent="0.35">
      <c r="A42" s="21">
        <v>5</v>
      </c>
      <c r="B42" s="38" t="s">
        <v>99</v>
      </c>
      <c r="C42" s="38" t="s">
        <v>68</v>
      </c>
      <c r="D42" s="39">
        <v>0</v>
      </c>
      <c r="E42" s="39">
        <v>22</v>
      </c>
      <c r="F42" s="18">
        <f t="shared" si="1"/>
        <v>147</v>
      </c>
      <c r="G42" s="18">
        <f t="shared" si="0"/>
        <v>125</v>
      </c>
    </row>
    <row r="43" spans="1:7" x14ac:dyDescent="0.35">
      <c r="A43" s="21">
        <v>6</v>
      </c>
      <c r="B43" s="38" t="s">
        <v>99</v>
      </c>
      <c r="C43" s="38" t="s">
        <v>68</v>
      </c>
      <c r="D43" s="39">
        <v>0</v>
      </c>
      <c r="E43" s="39">
        <v>17</v>
      </c>
      <c r="F43" s="18">
        <f t="shared" si="1"/>
        <v>125</v>
      </c>
      <c r="G43" s="18">
        <f t="shared" si="0"/>
        <v>108</v>
      </c>
    </row>
    <row r="44" spans="1:7" x14ac:dyDescent="0.35">
      <c r="A44" s="21">
        <v>7</v>
      </c>
      <c r="B44" s="38" t="s">
        <v>99</v>
      </c>
      <c r="C44" s="38" t="s">
        <v>68</v>
      </c>
      <c r="D44" s="39">
        <v>0</v>
      </c>
      <c r="E44" s="39">
        <v>16</v>
      </c>
      <c r="F44" s="18">
        <f t="shared" si="1"/>
        <v>108</v>
      </c>
      <c r="G44" s="18">
        <f t="shared" si="0"/>
        <v>92</v>
      </c>
    </row>
    <row r="45" spans="1:7" x14ac:dyDescent="0.35">
      <c r="A45" s="21">
        <v>8</v>
      </c>
      <c r="B45" s="38" t="s">
        <v>99</v>
      </c>
      <c r="C45" s="38" t="s">
        <v>68</v>
      </c>
      <c r="D45" s="39">
        <v>0</v>
      </c>
      <c r="E45" s="39">
        <v>20</v>
      </c>
      <c r="F45" s="18">
        <f t="shared" si="1"/>
        <v>92</v>
      </c>
      <c r="G45" s="18">
        <f t="shared" si="0"/>
        <v>72</v>
      </c>
    </row>
    <row r="46" spans="1:7" x14ac:dyDescent="0.35">
      <c r="A46" s="21">
        <v>9</v>
      </c>
      <c r="B46" s="38" t="s">
        <v>99</v>
      </c>
      <c r="C46" s="38" t="s">
        <v>68</v>
      </c>
      <c r="D46" s="39">
        <v>0</v>
      </c>
      <c r="E46" s="39">
        <v>14</v>
      </c>
      <c r="F46" s="18">
        <f t="shared" si="1"/>
        <v>72</v>
      </c>
      <c r="G46" s="18">
        <f t="shared" si="0"/>
        <v>58</v>
      </c>
    </row>
    <row r="47" spans="1:7" x14ac:dyDescent="0.35">
      <c r="A47" s="21">
        <v>10</v>
      </c>
      <c r="B47" s="38" t="s">
        <v>99</v>
      </c>
      <c r="C47" s="38" t="s">
        <v>68</v>
      </c>
      <c r="D47" s="39">
        <v>0</v>
      </c>
      <c r="E47" s="39">
        <v>15</v>
      </c>
      <c r="F47" s="18">
        <f t="shared" si="1"/>
        <v>58</v>
      </c>
      <c r="G47" s="18">
        <f t="shared" si="0"/>
        <v>43</v>
      </c>
    </row>
    <row r="48" spans="1:7" x14ac:dyDescent="0.35">
      <c r="A48" s="21">
        <v>11</v>
      </c>
      <c r="B48" s="38" t="s">
        <v>99</v>
      </c>
      <c r="C48" s="38" t="s">
        <v>68</v>
      </c>
      <c r="D48" s="39">
        <v>0</v>
      </c>
      <c r="E48" s="39">
        <v>13</v>
      </c>
      <c r="F48" s="18">
        <f t="shared" si="1"/>
        <v>43</v>
      </c>
      <c r="G48" s="18">
        <f t="shared" si="0"/>
        <v>30</v>
      </c>
    </row>
    <row r="49" spans="1:7" x14ac:dyDescent="0.35">
      <c r="A49" s="21">
        <v>12</v>
      </c>
      <c r="B49" s="38" t="s">
        <v>99</v>
      </c>
      <c r="C49" s="38" t="s">
        <v>68</v>
      </c>
      <c r="D49" s="39">
        <v>0</v>
      </c>
      <c r="E49" s="39">
        <v>21</v>
      </c>
      <c r="F49" s="18">
        <f t="shared" si="1"/>
        <v>30</v>
      </c>
      <c r="G49" s="18">
        <f t="shared" si="0"/>
        <v>9</v>
      </c>
    </row>
    <row r="50" spans="1:7" x14ac:dyDescent="0.35">
      <c r="A50" s="21">
        <v>1</v>
      </c>
      <c r="B50" s="38" t="s">
        <v>104</v>
      </c>
      <c r="C50" s="38" t="s">
        <v>62</v>
      </c>
      <c r="D50" s="39">
        <v>199</v>
      </c>
      <c r="E50" s="39">
        <v>18</v>
      </c>
      <c r="F50" s="18">
        <f t="shared" si="1"/>
        <v>0</v>
      </c>
      <c r="G50" s="18">
        <f t="shared" si="0"/>
        <v>181</v>
      </c>
    </row>
    <row r="51" spans="1:7" x14ac:dyDescent="0.35">
      <c r="A51" s="21">
        <v>2</v>
      </c>
      <c r="B51" s="38" t="s">
        <v>104</v>
      </c>
      <c r="C51" s="38" t="s">
        <v>62</v>
      </c>
      <c r="D51" s="39">
        <v>0</v>
      </c>
      <c r="E51" s="39">
        <v>15</v>
      </c>
      <c r="F51" s="18">
        <f t="shared" si="1"/>
        <v>181</v>
      </c>
      <c r="G51" s="18">
        <f t="shared" si="0"/>
        <v>166</v>
      </c>
    </row>
    <row r="52" spans="1:7" x14ac:dyDescent="0.35">
      <c r="A52" s="21">
        <v>3</v>
      </c>
      <c r="B52" s="38" t="s">
        <v>104</v>
      </c>
      <c r="C52" s="38" t="s">
        <v>62</v>
      </c>
      <c r="D52" s="39">
        <v>0</v>
      </c>
      <c r="E52" s="39">
        <v>16</v>
      </c>
      <c r="F52" s="18">
        <f t="shared" si="1"/>
        <v>166</v>
      </c>
      <c r="G52" s="18">
        <f t="shared" si="0"/>
        <v>150</v>
      </c>
    </row>
    <row r="53" spans="1:7" x14ac:dyDescent="0.35">
      <c r="A53" s="21">
        <v>4</v>
      </c>
      <c r="B53" s="38" t="s">
        <v>104</v>
      </c>
      <c r="C53" s="38" t="s">
        <v>62</v>
      </c>
      <c r="D53" s="39">
        <v>0</v>
      </c>
      <c r="E53" s="39">
        <v>12</v>
      </c>
      <c r="F53" s="18">
        <f t="shared" si="1"/>
        <v>150</v>
      </c>
      <c r="G53" s="18">
        <f t="shared" si="0"/>
        <v>138</v>
      </c>
    </row>
    <row r="54" spans="1:7" x14ac:dyDescent="0.35">
      <c r="A54" s="21">
        <v>5</v>
      </c>
      <c r="B54" s="38" t="s">
        <v>104</v>
      </c>
      <c r="C54" s="38" t="s">
        <v>62</v>
      </c>
      <c r="D54" s="39">
        <v>0</v>
      </c>
      <c r="E54" s="39">
        <v>12</v>
      </c>
      <c r="F54" s="18">
        <f t="shared" si="1"/>
        <v>138</v>
      </c>
      <c r="G54" s="18">
        <f t="shared" si="0"/>
        <v>126</v>
      </c>
    </row>
    <row r="55" spans="1:7" x14ac:dyDescent="0.35">
      <c r="A55" s="21">
        <v>6</v>
      </c>
      <c r="B55" s="38" t="s">
        <v>104</v>
      </c>
      <c r="C55" s="38" t="s">
        <v>62</v>
      </c>
      <c r="D55" s="39">
        <v>0</v>
      </c>
      <c r="E55" s="39">
        <v>17</v>
      </c>
      <c r="F55" s="18">
        <f t="shared" si="1"/>
        <v>126</v>
      </c>
      <c r="G55" s="18">
        <f t="shared" si="0"/>
        <v>109</v>
      </c>
    </row>
    <row r="56" spans="1:7" x14ac:dyDescent="0.35">
      <c r="A56" s="21">
        <v>7</v>
      </c>
      <c r="B56" s="38" t="s">
        <v>104</v>
      </c>
      <c r="C56" s="38" t="s">
        <v>62</v>
      </c>
      <c r="D56" s="39">
        <v>0</v>
      </c>
      <c r="E56" s="39">
        <v>15</v>
      </c>
      <c r="F56" s="18">
        <f t="shared" si="1"/>
        <v>109</v>
      </c>
      <c r="G56" s="18">
        <f t="shared" si="0"/>
        <v>94</v>
      </c>
    </row>
    <row r="57" spans="1:7" x14ac:dyDescent="0.35">
      <c r="A57" s="21">
        <v>8</v>
      </c>
      <c r="B57" s="38" t="s">
        <v>104</v>
      </c>
      <c r="C57" s="38" t="s">
        <v>62</v>
      </c>
      <c r="D57" s="39">
        <v>0</v>
      </c>
      <c r="E57" s="39">
        <v>16</v>
      </c>
      <c r="F57" s="18">
        <f t="shared" si="1"/>
        <v>94</v>
      </c>
      <c r="G57" s="18">
        <f t="shared" si="0"/>
        <v>78</v>
      </c>
    </row>
    <row r="58" spans="1:7" x14ac:dyDescent="0.35">
      <c r="A58" s="21">
        <v>9</v>
      </c>
      <c r="B58" s="38" t="s">
        <v>104</v>
      </c>
      <c r="C58" s="38" t="s">
        <v>62</v>
      </c>
      <c r="D58" s="39">
        <v>0</v>
      </c>
      <c r="E58" s="39">
        <v>18</v>
      </c>
      <c r="F58" s="18">
        <f t="shared" si="1"/>
        <v>78</v>
      </c>
      <c r="G58" s="18">
        <f t="shared" si="0"/>
        <v>60</v>
      </c>
    </row>
    <row r="59" spans="1:7" x14ac:dyDescent="0.35">
      <c r="A59" s="21">
        <v>10</v>
      </c>
      <c r="B59" s="38" t="s">
        <v>104</v>
      </c>
      <c r="C59" s="38" t="s">
        <v>62</v>
      </c>
      <c r="D59" s="39">
        <v>0</v>
      </c>
      <c r="E59" s="39">
        <v>16</v>
      </c>
      <c r="F59" s="18">
        <f t="shared" si="1"/>
        <v>60</v>
      </c>
      <c r="G59" s="18">
        <f t="shared" si="0"/>
        <v>44</v>
      </c>
    </row>
    <row r="60" spans="1:7" x14ac:dyDescent="0.35">
      <c r="A60" s="21">
        <v>11</v>
      </c>
      <c r="B60" s="38" t="s">
        <v>104</v>
      </c>
      <c r="C60" s="38" t="s">
        <v>62</v>
      </c>
      <c r="D60" s="39">
        <v>0</v>
      </c>
      <c r="E60" s="39">
        <v>16</v>
      </c>
      <c r="F60" s="18">
        <f t="shared" si="1"/>
        <v>44</v>
      </c>
      <c r="G60" s="18">
        <f t="shared" si="0"/>
        <v>28</v>
      </c>
    </row>
    <row r="61" spans="1:7" x14ac:dyDescent="0.35">
      <c r="A61" s="21">
        <v>12</v>
      </c>
      <c r="B61" s="38" t="s">
        <v>104</v>
      </c>
      <c r="C61" s="38" t="s">
        <v>62</v>
      </c>
      <c r="D61" s="39">
        <v>0</v>
      </c>
      <c r="E61" s="39">
        <v>16</v>
      </c>
      <c r="F61" s="18">
        <f t="shared" si="1"/>
        <v>28</v>
      </c>
      <c r="G61" s="18">
        <f t="shared" si="0"/>
        <v>12</v>
      </c>
    </row>
    <row r="62" spans="1:7" x14ac:dyDescent="0.35">
      <c r="A62" s="21">
        <v>1</v>
      </c>
      <c r="B62" s="38" t="s">
        <v>104</v>
      </c>
      <c r="C62" s="38" t="s">
        <v>64</v>
      </c>
      <c r="D62" s="39">
        <v>248</v>
      </c>
      <c r="E62" s="39">
        <v>15</v>
      </c>
      <c r="F62" s="18">
        <f t="shared" si="1"/>
        <v>0</v>
      </c>
      <c r="G62" s="18">
        <f t="shared" si="0"/>
        <v>233</v>
      </c>
    </row>
    <row r="63" spans="1:7" x14ac:dyDescent="0.35">
      <c r="A63" s="21">
        <v>2</v>
      </c>
      <c r="B63" s="38" t="s">
        <v>104</v>
      </c>
      <c r="C63" s="38" t="s">
        <v>64</v>
      </c>
      <c r="D63" s="39">
        <v>0</v>
      </c>
      <c r="E63" s="39">
        <v>20</v>
      </c>
      <c r="F63" s="18">
        <f t="shared" si="1"/>
        <v>233</v>
      </c>
      <c r="G63" s="18">
        <f t="shared" si="0"/>
        <v>213</v>
      </c>
    </row>
    <row r="64" spans="1:7" x14ac:dyDescent="0.35">
      <c r="A64" s="21">
        <v>3</v>
      </c>
      <c r="B64" s="38" t="s">
        <v>104</v>
      </c>
      <c r="C64" s="38" t="s">
        <v>64</v>
      </c>
      <c r="D64" s="39">
        <v>0</v>
      </c>
      <c r="E64" s="39">
        <v>17</v>
      </c>
      <c r="F64" s="18">
        <f t="shared" si="1"/>
        <v>213</v>
      </c>
      <c r="G64" s="18">
        <f t="shared" si="0"/>
        <v>196</v>
      </c>
    </row>
    <row r="65" spans="1:7" x14ac:dyDescent="0.35">
      <c r="A65" s="21">
        <v>4</v>
      </c>
      <c r="B65" s="38" t="s">
        <v>104</v>
      </c>
      <c r="C65" s="38" t="s">
        <v>64</v>
      </c>
      <c r="D65" s="39">
        <v>0</v>
      </c>
      <c r="E65" s="39">
        <v>19</v>
      </c>
      <c r="F65" s="18">
        <f t="shared" si="1"/>
        <v>196</v>
      </c>
      <c r="G65" s="18">
        <f t="shared" si="0"/>
        <v>177</v>
      </c>
    </row>
    <row r="66" spans="1:7" x14ac:dyDescent="0.35">
      <c r="A66" s="21">
        <v>5</v>
      </c>
      <c r="B66" s="38" t="s">
        <v>104</v>
      </c>
      <c r="C66" s="38" t="s">
        <v>64</v>
      </c>
      <c r="D66" s="39">
        <v>0</v>
      </c>
      <c r="E66" s="39">
        <v>25</v>
      </c>
      <c r="F66" s="18">
        <f t="shared" ref="F66:F129" si="2">IF(A66=1,0,G65)</f>
        <v>177</v>
      </c>
      <c r="G66" s="18">
        <f t="shared" ref="G66:G129" si="3">F66+D66-E66</f>
        <v>152</v>
      </c>
    </row>
    <row r="67" spans="1:7" x14ac:dyDescent="0.35">
      <c r="A67" s="21">
        <v>6</v>
      </c>
      <c r="B67" s="38" t="s">
        <v>104</v>
      </c>
      <c r="C67" s="38" t="s">
        <v>64</v>
      </c>
      <c r="D67" s="39">
        <v>0</v>
      </c>
      <c r="E67" s="39">
        <v>17</v>
      </c>
      <c r="F67" s="18">
        <f t="shared" si="2"/>
        <v>152</v>
      </c>
      <c r="G67" s="18">
        <f t="shared" si="3"/>
        <v>135</v>
      </c>
    </row>
    <row r="68" spans="1:7" x14ac:dyDescent="0.35">
      <c r="A68" s="21">
        <v>7</v>
      </c>
      <c r="B68" s="38" t="s">
        <v>104</v>
      </c>
      <c r="C68" s="38" t="s">
        <v>64</v>
      </c>
      <c r="D68" s="39">
        <v>0</v>
      </c>
      <c r="E68" s="39">
        <v>15</v>
      </c>
      <c r="F68" s="18">
        <f t="shared" si="2"/>
        <v>135</v>
      </c>
      <c r="G68" s="18">
        <f t="shared" si="3"/>
        <v>120</v>
      </c>
    </row>
    <row r="69" spans="1:7" x14ac:dyDescent="0.35">
      <c r="A69" s="21">
        <v>8</v>
      </c>
      <c r="B69" s="38" t="s">
        <v>104</v>
      </c>
      <c r="C69" s="38" t="s">
        <v>64</v>
      </c>
      <c r="D69" s="39">
        <v>0</v>
      </c>
      <c r="E69" s="39">
        <v>18</v>
      </c>
      <c r="F69" s="18">
        <f t="shared" si="2"/>
        <v>120</v>
      </c>
      <c r="G69" s="18">
        <f t="shared" si="3"/>
        <v>102</v>
      </c>
    </row>
    <row r="70" spans="1:7" x14ac:dyDescent="0.35">
      <c r="A70" s="21">
        <v>9</v>
      </c>
      <c r="B70" s="38" t="s">
        <v>104</v>
      </c>
      <c r="C70" s="38" t="s">
        <v>64</v>
      </c>
      <c r="D70" s="39">
        <v>0</v>
      </c>
      <c r="E70" s="39">
        <v>18</v>
      </c>
      <c r="F70" s="18">
        <f t="shared" si="2"/>
        <v>102</v>
      </c>
      <c r="G70" s="18">
        <f t="shared" si="3"/>
        <v>84</v>
      </c>
    </row>
    <row r="71" spans="1:7" x14ac:dyDescent="0.35">
      <c r="A71" s="21">
        <v>10</v>
      </c>
      <c r="B71" s="38" t="s">
        <v>104</v>
      </c>
      <c r="C71" s="38" t="s">
        <v>64</v>
      </c>
      <c r="D71" s="39">
        <v>0</v>
      </c>
      <c r="E71" s="39">
        <v>22</v>
      </c>
      <c r="F71" s="18">
        <f t="shared" si="2"/>
        <v>84</v>
      </c>
      <c r="G71" s="18">
        <f t="shared" si="3"/>
        <v>62</v>
      </c>
    </row>
    <row r="72" spans="1:7" x14ac:dyDescent="0.35">
      <c r="A72" s="21">
        <v>11</v>
      </c>
      <c r="B72" s="38" t="s">
        <v>104</v>
      </c>
      <c r="C72" s="38" t="s">
        <v>64</v>
      </c>
      <c r="D72" s="39">
        <v>0</v>
      </c>
      <c r="E72" s="39">
        <v>21</v>
      </c>
      <c r="F72" s="18">
        <f t="shared" si="2"/>
        <v>62</v>
      </c>
      <c r="G72" s="18">
        <f t="shared" si="3"/>
        <v>41</v>
      </c>
    </row>
    <row r="73" spans="1:7" x14ac:dyDescent="0.35">
      <c r="A73" s="21">
        <v>12</v>
      </c>
      <c r="B73" s="38" t="s">
        <v>104</v>
      </c>
      <c r="C73" s="38" t="s">
        <v>64</v>
      </c>
      <c r="D73" s="39">
        <v>0</v>
      </c>
      <c r="E73" s="39">
        <v>24</v>
      </c>
      <c r="F73" s="18">
        <f t="shared" si="2"/>
        <v>41</v>
      </c>
      <c r="G73" s="18">
        <f t="shared" si="3"/>
        <v>17</v>
      </c>
    </row>
    <row r="74" spans="1:7" x14ac:dyDescent="0.35">
      <c r="A74" s="21">
        <v>1</v>
      </c>
      <c r="B74" s="38" t="s">
        <v>104</v>
      </c>
      <c r="C74" s="38" t="s">
        <v>66</v>
      </c>
      <c r="D74" s="39">
        <v>168</v>
      </c>
      <c r="E74" s="39">
        <v>12</v>
      </c>
      <c r="F74" s="18">
        <f t="shared" si="2"/>
        <v>0</v>
      </c>
      <c r="G74" s="18">
        <f t="shared" si="3"/>
        <v>156</v>
      </c>
    </row>
    <row r="75" spans="1:7" x14ac:dyDescent="0.35">
      <c r="A75" s="21">
        <v>2</v>
      </c>
      <c r="B75" s="38" t="s">
        <v>104</v>
      </c>
      <c r="C75" s="38" t="s">
        <v>66</v>
      </c>
      <c r="D75" s="39">
        <v>0</v>
      </c>
      <c r="E75" s="39">
        <v>15</v>
      </c>
      <c r="F75" s="18">
        <f t="shared" si="2"/>
        <v>156</v>
      </c>
      <c r="G75" s="18">
        <f t="shared" si="3"/>
        <v>141</v>
      </c>
    </row>
    <row r="76" spans="1:7" x14ac:dyDescent="0.35">
      <c r="A76" s="21">
        <v>3</v>
      </c>
      <c r="B76" s="38" t="s">
        <v>104</v>
      </c>
      <c r="C76" s="38" t="s">
        <v>66</v>
      </c>
      <c r="D76" s="39">
        <v>0</v>
      </c>
      <c r="E76" s="39">
        <v>10</v>
      </c>
      <c r="F76" s="18">
        <f t="shared" si="2"/>
        <v>141</v>
      </c>
      <c r="G76" s="18">
        <f t="shared" si="3"/>
        <v>131</v>
      </c>
    </row>
    <row r="77" spans="1:7" x14ac:dyDescent="0.35">
      <c r="A77" s="21">
        <v>4</v>
      </c>
      <c r="B77" s="38" t="s">
        <v>104</v>
      </c>
      <c r="C77" s="38" t="s">
        <v>66</v>
      </c>
      <c r="D77" s="39">
        <v>0</v>
      </c>
      <c r="E77" s="39">
        <v>9</v>
      </c>
      <c r="F77" s="18">
        <f t="shared" si="2"/>
        <v>131</v>
      </c>
      <c r="G77" s="18">
        <f t="shared" si="3"/>
        <v>122</v>
      </c>
    </row>
    <row r="78" spans="1:7" x14ac:dyDescent="0.35">
      <c r="A78" s="21">
        <v>5</v>
      </c>
      <c r="B78" s="38" t="s">
        <v>104</v>
      </c>
      <c r="C78" s="38" t="s">
        <v>66</v>
      </c>
      <c r="D78" s="39">
        <v>0</v>
      </c>
      <c r="E78" s="39">
        <v>10</v>
      </c>
      <c r="F78" s="18">
        <f t="shared" si="2"/>
        <v>122</v>
      </c>
      <c r="G78" s="18">
        <f t="shared" si="3"/>
        <v>112</v>
      </c>
    </row>
    <row r="79" spans="1:7" x14ac:dyDescent="0.35">
      <c r="A79" s="21">
        <v>6</v>
      </c>
      <c r="B79" s="38" t="s">
        <v>104</v>
      </c>
      <c r="C79" s="38" t="s">
        <v>66</v>
      </c>
      <c r="D79" s="39">
        <v>0</v>
      </c>
      <c r="E79" s="39">
        <v>15</v>
      </c>
      <c r="F79" s="18">
        <f t="shared" si="2"/>
        <v>112</v>
      </c>
      <c r="G79" s="18">
        <f t="shared" si="3"/>
        <v>97</v>
      </c>
    </row>
    <row r="80" spans="1:7" x14ac:dyDescent="0.35">
      <c r="A80" s="21">
        <v>7</v>
      </c>
      <c r="B80" s="38" t="s">
        <v>104</v>
      </c>
      <c r="C80" s="38" t="s">
        <v>66</v>
      </c>
      <c r="D80" s="39">
        <v>0</v>
      </c>
      <c r="E80" s="39">
        <v>13</v>
      </c>
      <c r="F80" s="18">
        <f t="shared" si="2"/>
        <v>97</v>
      </c>
      <c r="G80" s="18">
        <f t="shared" si="3"/>
        <v>84</v>
      </c>
    </row>
    <row r="81" spans="1:7" x14ac:dyDescent="0.35">
      <c r="A81" s="21">
        <v>8</v>
      </c>
      <c r="B81" s="38" t="s">
        <v>104</v>
      </c>
      <c r="C81" s="38" t="s">
        <v>66</v>
      </c>
      <c r="D81" s="39">
        <v>0</v>
      </c>
      <c r="E81" s="39">
        <v>10</v>
      </c>
      <c r="F81" s="18">
        <f t="shared" si="2"/>
        <v>84</v>
      </c>
      <c r="G81" s="18">
        <f t="shared" si="3"/>
        <v>74</v>
      </c>
    </row>
    <row r="82" spans="1:7" x14ac:dyDescent="0.35">
      <c r="A82" s="21">
        <v>9</v>
      </c>
      <c r="B82" s="38" t="s">
        <v>104</v>
      </c>
      <c r="C82" s="38" t="s">
        <v>66</v>
      </c>
      <c r="D82" s="39">
        <v>0</v>
      </c>
      <c r="E82" s="39">
        <v>13</v>
      </c>
      <c r="F82" s="18">
        <f t="shared" si="2"/>
        <v>74</v>
      </c>
      <c r="G82" s="18">
        <f t="shared" si="3"/>
        <v>61</v>
      </c>
    </row>
    <row r="83" spans="1:7" x14ac:dyDescent="0.35">
      <c r="A83" s="21">
        <v>10</v>
      </c>
      <c r="B83" s="38" t="s">
        <v>104</v>
      </c>
      <c r="C83" s="38" t="s">
        <v>66</v>
      </c>
      <c r="D83" s="39">
        <v>0</v>
      </c>
      <c r="E83" s="39">
        <v>10</v>
      </c>
      <c r="F83" s="18">
        <f t="shared" si="2"/>
        <v>61</v>
      </c>
      <c r="G83" s="18">
        <f t="shared" si="3"/>
        <v>51</v>
      </c>
    </row>
    <row r="84" spans="1:7" x14ac:dyDescent="0.35">
      <c r="A84" s="21">
        <v>11</v>
      </c>
      <c r="B84" s="38" t="s">
        <v>104</v>
      </c>
      <c r="C84" s="38" t="s">
        <v>66</v>
      </c>
      <c r="D84" s="39">
        <v>0</v>
      </c>
      <c r="E84" s="39">
        <v>14</v>
      </c>
      <c r="F84" s="18">
        <f t="shared" si="2"/>
        <v>51</v>
      </c>
      <c r="G84" s="18">
        <f t="shared" si="3"/>
        <v>37</v>
      </c>
    </row>
    <row r="85" spans="1:7" x14ac:dyDescent="0.35">
      <c r="A85" s="21">
        <v>12</v>
      </c>
      <c r="B85" s="38" t="s">
        <v>104</v>
      </c>
      <c r="C85" s="38" t="s">
        <v>66</v>
      </c>
      <c r="D85" s="39">
        <v>0</v>
      </c>
      <c r="E85" s="39">
        <v>12</v>
      </c>
      <c r="F85" s="18">
        <f t="shared" si="2"/>
        <v>37</v>
      </c>
      <c r="G85" s="18">
        <f t="shared" si="3"/>
        <v>25</v>
      </c>
    </row>
    <row r="86" spans="1:7" x14ac:dyDescent="0.35">
      <c r="A86" s="21">
        <v>1</v>
      </c>
      <c r="B86" s="38" t="s">
        <v>104</v>
      </c>
      <c r="C86" s="38" t="s">
        <v>68</v>
      </c>
      <c r="D86" s="39">
        <v>214</v>
      </c>
      <c r="E86" s="39">
        <v>15</v>
      </c>
      <c r="F86" s="18">
        <f t="shared" si="2"/>
        <v>0</v>
      </c>
      <c r="G86" s="18">
        <f t="shared" si="3"/>
        <v>199</v>
      </c>
    </row>
    <row r="87" spans="1:7" x14ac:dyDescent="0.35">
      <c r="A87" s="21">
        <v>2</v>
      </c>
      <c r="B87" s="38" t="s">
        <v>104</v>
      </c>
      <c r="C87" s="38" t="s">
        <v>68</v>
      </c>
      <c r="D87" s="39">
        <v>0</v>
      </c>
      <c r="E87" s="39">
        <v>19</v>
      </c>
      <c r="F87" s="18">
        <f t="shared" si="2"/>
        <v>199</v>
      </c>
      <c r="G87" s="18">
        <f t="shared" si="3"/>
        <v>180</v>
      </c>
    </row>
    <row r="88" spans="1:7" x14ac:dyDescent="0.35">
      <c r="A88" s="21">
        <v>3</v>
      </c>
      <c r="B88" s="38" t="s">
        <v>104</v>
      </c>
      <c r="C88" s="38" t="s">
        <v>68</v>
      </c>
      <c r="D88" s="39">
        <v>0</v>
      </c>
      <c r="E88" s="39">
        <v>16</v>
      </c>
      <c r="F88" s="18">
        <f t="shared" si="2"/>
        <v>180</v>
      </c>
      <c r="G88" s="18">
        <f t="shared" si="3"/>
        <v>164</v>
      </c>
    </row>
    <row r="89" spans="1:7" x14ac:dyDescent="0.35">
      <c r="A89" s="21">
        <v>4</v>
      </c>
      <c r="B89" s="38" t="s">
        <v>104</v>
      </c>
      <c r="C89" s="38" t="s">
        <v>68</v>
      </c>
      <c r="D89" s="39">
        <v>0</v>
      </c>
      <c r="E89" s="39">
        <v>13</v>
      </c>
      <c r="F89" s="18">
        <f t="shared" si="2"/>
        <v>164</v>
      </c>
      <c r="G89" s="18">
        <f t="shared" si="3"/>
        <v>151</v>
      </c>
    </row>
    <row r="90" spans="1:7" x14ac:dyDescent="0.35">
      <c r="A90" s="21">
        <v>5</v>
      </c>
      <c r="B90" s="38" t="s">
        <v>104</v>
      </c>
      <c r="C90" s="38" t="s">
        <v>68</v>
      </c>
      <c r="D90" s="39">
        <v>0</v>
      </c>
      <c r="E90" s="39">
        <v>13</v>
      </c>
      <c r="F90" s="18">
        <f t="shared" si="2"/>
        <v>151</v>
      </c>
      <c r="G90" s="18">
        <f t="shared" si="3"/>
        <v>138</v>
      </c>
    </row>
    <row r="91" spans="1:7" x14ac:dyDescent="0.35">
      <c r="A91" s="21">
        <v>6</v>
      </c>
      <c r="B91" s="38" t="s">
        <v>104</v>
      </c>
      <c r="C91" s="38" t="s">
        <v>68</v>
      </c>
      <c r="D91" s="39">
        <v>0</v>
      </c>
      <c r="E91" s="39">
        <v>22</v>
      </c>
      <c r="F91" s="18">
        <f t="shared" si="2"/>
        <v>138</v>
      </c>
      <c r="G91" s="18">
        <f t="shared" si="3"/>
        <v>116</v>
      </c>
    </row>
    <row r="92" spans="1:7" x14ac:dyDescent="0.35">
      <c r="A92" s="21">
        <v>7</v>
      </c>
      <c r="B92" s="38" t="s">
        <v>104</v>
      </c>
      <c r="C92" s="38" t="s">
        <v>68</v>
      </c>
      <c r="D92" s="39">
        <v>0</v>
      </c>
      <c r="E92" s="39">
        <v>22</v>
      </c>
      <c r="F92" s="18">
        <f t="shared" si="2"/>
        <v>116</v>
      </c>
      <c r="G92" s="18">
        <f t="shared" si="3"/>
        <v>94</v>
      </c>
    </row>
    <row r="93" spans="1:7" x14ac:dyDescent="0.35">
      <c r="A93" s="21">
        <v>8</v>
      </c>
      <c r="B93" s="38" t="s">
        <v>104</v>
      </c>
      <c r="C93" s="38" t="s">
        <v>68</v>
      </c>
      <c r="D93" s="39">
        <v>0</v>
      </c>
      <c r="E93" s="39">
        <v>20</v>
      </c>
      <c r="F93" s="18">
        <f t="shared" si="2"/>
        <v>94</v>
      </c>
      <c r="G93" s="18">
        <f t="shared" si="3"/>
        <v>74</v>
      </c>
    </row>
    <row r="94" spans="1:7" x14ac:dyDescent="0.35">
      <c r="A94" s="21">
        <v>9</v>
      </c>
      <c r="B94" s="38" t="s">
        <v>104</v>
      </c>
      <c r="C94" s="38" t="s">
        <v>68</v>
      </c>
      <c r="D94" s="39">
        <v>0</v>
      </c>
      <c r="E94" s="39">
        <v>15</v>
      </c>
      <c r="F94" s="18">
        <f t="shared" si="2"/>
        <v>74</v>
      </c>
      <c r="G94" s="18">
        <f t="shared" si="3"/>
        <v>59</v>
      </c>
    </row>
    <row r="95" spans="1:7" x14ac:dyDescent="0.35">
      <c r="A95" s="21">
        <v>10</v>
      </c>
      <c r="B95" s="38" t="s">
        <v>104</v>
      </c>
      <c r="C95" s="38" t="s">
        <v>68</v>
      </c>
      <c r="D95" s="39">
        <v>0</v>
      </c>
      <c r="E95" s="39">
        <v>22</v>
      </c>
      <c r="F95" s="18">
        <f t="shared" si="2"/>
        <v>59</v>
      </c>
      <c r="G95" s="18">
        <f t="shared" si="3"/>
        <v>37</v>
      </c>
    </row>
    <row r="96" spans="1:7" x14ac:dyDescent="0.35">
      <c r="A96" s="21">
        <v>11</v>
      </c>
      <c r="B96" s="38" t="s">
        <v>104</v>
      </c>
      <c r="C96" s="38" t="s">
        <v>68</v>
      </c>
      <c r="D96" s="39">
        <v>0</v>
      </c>
      <c r="E96" s="39">
        <v>20</v>
      </c>
      <c r="F96" s="18">
        <f t="shared" si="2"/>
        <v>37</v>
      </c>
      <c r="G96" s="18">
        <f t="shared" si="3"/>
        <v>17</v>
      </c>
    </row>
    <row r="97" spans="1:7" x14ac:dyDescent="0.35">
      <c r="A97" s="21">
        <v>12</v>
      </c>
      <c r="B97" s="38" t="s">
        <v>104</v>
      </c>
      <c r="C97" s="38" t="s">
        <v>68</v>
      </c>
      <c r="D97" s="39">
        <v>0</v>
      </c>
      <c r="E97" s="39">
        <v>17</v>
      </c>
      <c r="F97" s="18">
        <f t="shared" si="2"/>
        <v>17</v>
      </c>
      <c r="G97" s="18">
        <f t="shared" si="3"/>
        <v>0</v>
      </c>
    </row>
    <row r="98" spans="1:7" x14ac:dyDescent="0.35">
      <c r="A98" s="21">
        <v>1</v>
      </c>
      <c r="B98" s="38" t="s">
        <v>106</v>
      </c>
      <c r="C98" s="38" t="s">
        <v>62</v>
      </c>
      <c r="D98" s="39">
        <v>164</v>
      </c>
      <c r="E98" s="39">
        <v>10</v>
      </c>
      <c r="F98" s="18">
        <f t="shared" si="2"/>
        <v>0</v>
      </c>
      <c r="G98" s="18">
        <f t="shared" si="3"/>
        <v>154</v>
      </c>
    </row>
    <row r="99" spans="1:7" x14ac:dyDescent="0.35">
      <c r="A99" s="21">
        <v>2</v>
      </c>
      <c r="B99" s="38" t="s">
        <v>106</v>
      </c>
      <c r="C99" s="38" t="s">
        <v>62</v>
      </c>
      <c r="D99" s="39">
        <v>0</v>
      </c>
      <c r="E99" s="39">
        <v>17</v>
      </c>
      <c r="F99" s="18">
        <f t="shared" si="2"/>
        <v>154</v>
      </c>
      <c r="G99" s="18">
        <f t="shared" si="3"/>
        <v>137</v>
      </c>
    </row>
    <row r="100" spans="1:7" x14ac:dyDescent="0.35">
      <c r="A100" s="21">
        <v>3</v>
      </c>
      <c r="B100" s="38" t="s">
        <v>106</v>
      </c>
      <c r="C100" s="38" t="s">
        <v>62</v>
      </c>
      <c r="D100" s="39">
        <v>0</v>
      </c>
      <c r="E100" s="39">
        <v>13</v>
      </c>
      <c r="F100" s="18">
        <f t="shared" si="2"/>
        <v>137</v>
      </c>
      <c r="G100" s="18">
        <f t="shared" si="3"/>
        <v>124</v>
      </c>
    </row>
    <row r="101" spans="1:7" x14ac:dyDescent="0.35">
      <c r="A101" s="21">
        <v>4</v>
      </c>
      <c r="B101" s="38" t="s">
        <v>106</v>
      </c>
      <c r="C101" s="38" t="s">
        <v>62</v>
      </c>
      <c r="D101" s="39">
        <v>0</v>
      </c>
      <c r="E101" s="39">
        <v>11</v>
      </c>
      <c r="F101" s="18">
        <f t="shared" si="2"/>
        <v>124</v>
      </c>
      <c r="G101" s="18">
        <f t="shared" si="3"/>
        <v>113</v>
      </c>
    </row>
    <row r="102" spans="1:7" x14ac:dyDescent="0.35">
      <c r="A102" s="21">
        <v>5</v>
      </c>
      <c r="B102" s="38" t="s">
        <v>106</v>
      </c>
      <c r="C102" s="38" t="s">
        <v>62</v>
      </c>
      <c r="D102" s="39">
        <v>0</v>
      </c>
      <c r="E102" s="39">
        <v>12</v>
      </c>
      <c r="F102" s="18">
        <f t="shared" si="2"/>
        <v>113</v>
      </c>
      <c r="G102" s="18">
        <f t="shared" si="3"/>
        <v>101</v>
      </c>
    </row>
    <row r="103" spans="1:7" x14ac:dyDescent="0.35">
      <c r="A103" s="21">
        <v>6</v>
      </c>
      <c r="B103" s="38" t="s">
        <v>106</v>
      </c>
      <c r="C103" s="38" t="s">
        <v>62</v>
      </c>
      <c r="D103" s="39">
        <v>0</v>
      </c>
      <c r="E103" s="39">
        <v>14</v>
      </c>
      <c r="F103" s="18">
        <f t="shared" si="2"/>
        <v>101</v>
      </c>
      <c r="G103" s="18">
        <f t="shared" si="3"/>
        <v>87</v>
      </c>
    </row>
    <row r="104" spans="1:7" x14ac:dyDescent="0.35">
      <c r="A104" s="21">
        <v>7</v>
      </c>
      <c r="B104" s="38" t="s">
        <v>106</v>
      </c>
      <c r="C104" s="38" t="s">
        <v>62</v>
      </c>
      <c r="D104" s="39">
        <v>0</v>
      </c>
      <c r="E104" s="39">
        <v>11</v>
      </c>
      <c r="F104" s="18">
        <f t="shared" si="2"/>
        <v>87</v>
      </c>
      <c r="G104" s="18">
        <f t="shared" si="3"/>
        <v>76</v>
      </c>
    </row>
    <row r="105" spans="1:7" x14ac:dyDescent="0.35">
      <c r="A105" s="21">
        <v>8</v>
      </c>
      <c r="B105" s="38" t="s">
        <v>106</v>
      </c>
      <c r="C105" s="38" t="s">
        <v>62</v>
      </c>
      <c r="D105" s="39">
        <v>0</v>
      </c>
      <c r="E105" s="39">
        <v>17</v>
      </c>
      <c r="F105" s="18">
        <f t="shared" si="2"/>
        <v>76</v>
      </c>
      <c r="G105" s="18">
        <f t="shared" si="3"/>
        <v>59</v>
      </c>
    </row>
    <row r="106" spans="1:7" x14ac:dyDescent="0.35">
      <c r="A106" s="21">
        <v>9</v>
      </c>
      <c r="B106" s="38" t="s">
        <v>106</v>
      </c>
      <c r="C106" s="38" t="s">
        <v>62</v>
      </c>
      <c r="D106" s="39">
        <v>0</v>
      </c>
      <c r="E106" s="39">
        <v>16</v>
      </c>
      <c r="F106" s="18">
        <f t="shared" si="2"/>
        <v>59</v>
      </c>
      <c r="G106" s="18">
        <f t="shared" si="3"/>
        <v>43</v>
      </c>
    </row>
    <row r="107" spans="1:7" x14ac:dyDescent="0.35">
      <c r="A107" s="21">
        <v>10</v>
      </c>
      <c r="B107" s="38" t="s">
        <v>106</v>
      </c>
      <c r="C107" s="38" t="s">
        <v>62</v>
      </c>
      <c r="D107" s="39">
        <v>0</v>
      </c>
      <c r="E107" s="39">
        <v>15</v>
      </c>
      <c r="F107" s="18">
        <f t="shared" si="2"/>
        <v>43</v>
      </c>
      <c r="G107" s="18">
        <f t="shared" si="3"/>
        <v>28</v>
      </c>
    </row>
    <row r="108" spans="1:7" x14ac:dyDescent="0.35">
      <c r="A108" s="21">
        <v>11</v>
      </c>
      <c r="B108" s="38" t="s">
        <v>106</v>
      </c>
      <c r="C108" s="38" t="s">
        <v>62</v>
      </c>
      <c r="D108" s="39">
        <v>0</v>
      </c>
      <c r="E108" s="39">
        <v>13</v>
      </c>
      <c r="F108" s="18">
        <f t="shared" si="2"/>
        <v>28</v>
      </c>
      <c r="G108" s="18">
        <f t="shared" si="3"/>
        <v>15</v>
      </c>
    </row>
    <row r="109" spans="1:7" x14ac:dyDescent="0.35">
      <c r="A109" s="21">
        <v>12</v>
      </c>
      <c r="B109" s="38" t="s">
        <v>106</v>
      </c>
      <c r="C109" s="38" t="s">
        <v>62</v>
      </c>
      <c r="D109" s="39">
        <v>0</v>
      </c>
      <c r="E109" s="39">
        <v>15</v>
      </c>
      <c r="F109" s="18">
        <f t="shared" si="2"/>
        <v>15</v>
      </c>
      <c r="G109" s="18">
        <f t="shared" si="3"/>
        <v>0</v>
      </c>
    </row>
    <row r="110" spans="1:7" x14ac:dyDescent="0.35">
      <c r="A110" s="21">
        <v>1</v>
      </c>
      <c r="B110" s="38" t="s">
        <v>106</v>
      </c>
      <c r="C110" s="38" t="s">
        <v>64</v>
      </c>
      <c r="D110" s="39">
        <v>236</v>
      </c>
      <c r="E110" s="39">
        <v>20</v>
      </c>
      <c r="F110" s="18">
        <f t="shared" si="2"/>
        <v>0</v>
      </c>
      <c r="G110" s="18">
        <f t="shared" si="3"/>
        <v>216</v>
      </c>
    </row>
    <row r="111" spans="1:7" x14ac:dyDescent="0.35">
      <c r="A111" s="21">
        <v>2</v>
      </c>
      <c r="B111" s="38" t="s">
        <v>106</v>
      </c>
      <c r="C111" s="38" t="s">
        <v>64</v>
      </c>
      <c r="D111" s="39">
        <v>0</v>
      </c>
      <c r="E111" s="39">
        <v>14</v>
      </c>
      <c r="F111" s="18">
        <f t="shared" si="2"/>
        <v>216</v>
      </c>
      <c r="G111" s="18">
        <f t="shared" si="3"/>
        <v>202</v>
      </c>
    </row>
    <row r="112" spans="1:7" x14ac:dyDescent="0.35">
      <c r="A112" s="21">
        <v>3</v>
      </c>
      <c r="B112" s="38" t="s">
        <v>106</v>
      </c>
      <c r="C112" s="38" t="s">
        <v>64</v>
      </c>
      <c r="D112" s="39">
        <v>0</v>
      </c>
      <c r="E112" s="39">
        <v>17</v>
      </c>
      <c r="F112" s="18">
        <f t="shared" si="2"/>
        <v>202</v>
      </c>
      <c r="G112" s="18">
        <f t="shared" si="3"/>
        <v>185</v>
      </c>
    </row>
    <row r="113" spans="1:7" x14ac:dyDescent="0.35">
      <c r="A113" s="21">
        <v>4</v>
      </c>
      <c r="B113" s="38" t="s">
        <v>106</v>
      </c>
      <c r="C113" s="38" t="s">
        <v>64</v>
      </c>
      <c r="D113" s="39">
        <v>0</v>
      </c>
      <c r="E113" s="39">
        <v>13</v>
      </c>
      <c r="F113" s="18">
        <f t="shared" si="2"/>
        <v>185</v>
      </c>
      <c r="G113" s="18">
        <f t="shared" si="3"/>
        <v>172</v>
      </c>
    </row>
    <row r="114" spans="1:7" x14ac:dyDescent="0.35">
      <c r="A114" s="21">
        <v>5</v>
      </c>
      <c r="B114" s="38" t="s">
        <v>106</v>
      </c>
      <c r="C114" s="38" t="s">
        <v>64</v>
      </c>
      <c r="D114" s="39">
        <v>0</v>
      </c>
      <c r="E114" s="39">
        <v>18</v>
      </c>
      <c r="F114" s="18">
        <f t="shared" si="2"/>
        <v>172</v>
      </c>
      <c r="G114" s="18">
        <f t="shared" si="3"/>
        <v>154</v>
      </c>
    </row>
    <row r="115" spans="1:7" x14ac:dyDescent="0.35">
      <c r="A115" s="21">
        <v>6</v>
      </c>
      <c r="B115" s="38" t="s">
        <v>106</v>
      </c>
      <c r="C115" s="38" t="s">
        <v>64</v>
      </c>
      <c r="D115" s="39">
        <v>0</v>
      </c>
      <c r="E115" s="39">
        <v>17</v>
      </c>
      <c r="F115" s="18">
        <f t="shared" si="2"/>
        <v>154</v>
      </c>
      <c r="G115" s="18">
        <f t="shared" si="3"/>
        <v>137</v>
      </c>
    </row>
    <row r="116" spans="1:7" x14ac:dyDescent="0.35">
      <c r="A116" s="21">
        <v>7</v>
      </c>
      <c r="B116" s="38" t="s">
        <v>106</v>
      </c>
      <c r="C116" s="38" t="s">
        <v>64</v>
      </c>
      <c r="D116" s="39">
        <v>0</v>
      </c>
      <c r="E116" s="39">
        <v>14</v>
      </c>
      <c r="F116" s="18">
        <f t="shared" si="2"/>
        <v>137</v>
      </c>
      <c r="G116" s="18">
        <f t="shared" si="3"/>
        <v>123</v>
      </c>
    </row>
    <row r="117" spans="1:7" x14ac:dyDescent="0.35">
      <c r="A117" s="21">
        <v>8</v>
      </c>
      <c r="B117" s="38" t="s">
        <v>106</v>
      </c>
      <c r="C117" s="38" t="s">
        <v>64</v>
      </c>
      <c r="D117" s="39">
        <v>0</v>
      </c>
      <c r="E117" s="39">
        <v>14</v>
      </c>
      <c r="F117" s="18">
        <f t="shared" si="2"/>
        <v>123</v>
      </c>
      <c r="G117" s="18">
        <f t="shared" si="3"/>
        <v>109</v>
      </c>
    </row>
    <row r="118" spans="1:7" x14ac:dyDescent="0.35">
      <c r="A118" s="21">
        <v>9</v>
      </c>
      <c r="B118" s="38" t="s">
        <v>106</v>
      </c>
      <c r="C118" s="38" t="s">
        <v>64</v>
      </c>
      <c r="D118" s="39">
        <v>0</v>
      </c>
      <c r="E118" s="39">
        <v>19</v>
      </c>
      <c r="F118" s="18">
        <f t="shared" si="2"/>
        <v>109</v>
      </c>
      <c r="G118" s="18">
        <f t="shared" si="3"/>
        <v>90</v>
      </c>
    </row>
    <row r="119" spans="1:7" x14ac:dyDescent="0.35">
      <c r="A119" s="21">
        <v>10</v>
      </c>
      <c r="B119" s="38" t="s">
        <v>106</v>
      </c>
      <c r="C119" s="38" t="s">
        <v>64</v>
      </c>
      <c r="D119" s="39">
        <v>0</v>
      </c>
      <c r="E119" s="39">
        <v>15</v>
      </c>
      <c r="F119" s="18">
        <f t="shared" si="2"/>
        <v>90</v>
      </c>
      <c r="G119" s="18">
        <f t="shared" si="3"/>
        <v>75</v>
      </c>
    </row>
    <row r="120" spans="1:7" x14ac:dyDescent="0.35">
      <c r="A120" s="21">
        <v>11</v>
      </c>
      <c r="B120" s="38" t="s">
        <v>106</v>
      </c>
      <c r="C120" s="38" t="s">
        <v>64</v>
      </c>
      <c r="D120" s="39">
        <v>0</v>
      </c>
      <c r="E120" s="39">
        <v>23</v>
      </c>
      <c r="F120" s="18">
        <f t="shared" si="2"/>
        <v>75</v>
      </c>
      <c r="G120" s="18">
        <f t="shared" si="3"/>
        <v>52</v>
      </c>
    </row>
    <row r="121" spans="1:7" x14ac:dyDescent="0.35">
      <c r="A121" s="21">
        <v>12</v>
      </c>
      <c r="B121" s="38" t="s">
        <v>106</v>
      </c>
      <c r="C121" s="38" t="s">
        <v>64</v>
      </c>
      <c r="D121" s="39">
        <v>0</v>
      </c>
      <c r="E121" s="39">
        <v>19</v>
      </c>
      <c r="F121" s="18">
        <f t="shared" si="2"/>
        <v>52</v>
      </c>
      <c r="G121" s="18">
        <f t="shared" si="3"/>
        <v>33</v>
      </c>
    </row>
    <row r="122" spans="1:7" x14ac:dyDescent="0.35">
      <c r="A122" s="21">
        <v>1</v>
      </c>
      <c r="B122" s="38" t="s">
        <v>106</v>
      </c>
      <c r="C122" s="38" t="s">
        <v>66</v>
      </c>
      <c r="D122" s="39">
        <v>142</v>
      </c>
      <c r="E122" s="39">
        <v>12</v>
      </c>
      <c r="F122" s="18">
        <f t="shared" si="2"/>
        <v>0</v>
      </c>
      <c r="G122" s="18">
        <f t="shared" si="3"/>
        <v>130</v>
      </c>
    </row>
    <row r="123" spans="1:7" x14ac:dyDescent="0.35">
      <c r="A123" s="21">
        <v>2</v>
      </c>
      <c r="B123" s="38" t="s">
        <v>106</v>
      </c>
      <c r="C123" s="38" t="s">
        <v>66</v>
      </c>
      <c r="D123" s="39">
        <v>0</v>
      </c>
      <c r="E123" s="39">
        <v>8</v>
      </c>
      <c r="F123" s="18">
        <f t="shared" si="2"/>
        <v>130</v>
      </c>
      <c r="G123" s="18">
        <f t="shared" si="3"/>
        <v>122</v>
      </c>
    </row>
    <row r="124" spans="1:7" x14ac:dyDescent="0.35">
      <c r="A124" s="21">
        <v>3</v>
      </c>
      <c r="B124" s="38" t="s">
        <v>106</v>
      </c>
      <c r="C124" s="38" t="s">
        <v>66</v>
      </c>
      <c r="D124" s="39">
        <v>0</v>
      </c>
      <c r="E124" s="39">
        <v>15</v>
      </c>
      <c r="F124" s="18">
        <f t="shared" si="2"/>
        <v>122</v>
      </c>
      <c r="G124" s="18">
        <f t="shared" si="3"/>
        <v>107</v>
      </c>
    </row>
    <row r="125" spans="1:7" x14ac:dyDescent="0.35">
      <c r="A125" s="21">
        <v>4</v>
      </c>
      <c r="B125" s="38" t="s">
        <v>106</v>
      </c>
      <c r="C125" s="38" t="s">
        <v>66</v>
      </c>
      <c r="D125" s="39">
        <v>0</v>
      </c>
      <c r="E125" s="39">
        <v>11</v>
      </c>
      <c r="F125" s="18">
        <f t="shared" si="2"/>
        <v>107</v>
      </c>
      <c r="G125" s="18">
        <f t="shared" si="3"/>
        <v>96</v>
      </c>
    </row>
    <row r="126" spans="1:7" x14ac:dyDescent="0.35">
      <c r="A126" s="21">
        <v>5</v>
      </c>
      <c r="B126" s="38" t="s">
        <v>106</v>
      </c>
      <c r="C126" s="38" t="s">
        <v>66</v>
      </c>
      <c r="D126" s="39">
        <v>0</v>
      </c>
      <c r="E126" s="39">
        <v>14</v>
      </c>
      <c r="F126" s="18">
        <f t="shared" si="2"/>
        <v>96</v>
      </c>
      <c r="G126" s="18">
        <f t="shared" si="3"/>
        <v>82</v>
      </c>
    </row>
    <row r="127" spans="1:7" x14ac:dyDescent="0.35">
      <c r="A127" s="21">
        <v>6</v>
      </c>
      <c r="B127" s="38" t="s">
        <v>106</v>
      </c>
      <c r="C127" s="38" t="s">
        <v>66</v>
      </c>
      <c r="D127" s="39">
        <v>0</v>
      </c>
      <c r="E127" s="39">
        <v>9</v>
      </c>
      <c r="F127" s="18">
        <f t="shared" si="2"/>
        <v>82</v>
      </c>
      <c r="G127" s="18">
        <f t="shared" si="3"/>
        <v>73</v>
      </c>
    </row>
    <row r="128" spans="1:7" x14ac:dyDescent="0.35">
      <c r="A128" s="21">
        <v>7</v>
      </c>
      <c r="B128" s="38" t="s">
        <v>106</v>
      </c>
      <c r="C128" s="38" t="s">
        <v>66</v>
      </c>
      <c r="D128" s="39">
        <v>0</v>
      </c>
      <c r="E128" s="39">
        <v>12</v>
      </c>
      <c r="F128" s="18">
        <f t="shared" si="2"/>
        <v>73</v>
      </c>
      <c r="G128" s="18">
        <f t="shared" si="3"/>
        <v>61</v>
      </c>
    </row>
    <row r="129" spans="1:7" x14ac:dyDescent="0.35">
      <c r="A129" s="21">
        <v>8</v>
      </c>
      <c r="B129" s="38" t="s">
        <v>106</v>
      </c>
      <c r="C129" s="38" t="s">
        <v>66</v>
      </c>
      <c r="D129" s="39">
        <v>0</v>
      </c>
      <c r="E129" s="39">
        <v>12</v>
      </c>
      <c r="F129" s="18">
        <f t="shared" si="2"/>
        <v>61</v>
      </c>
      <c r="G129" s="18">
        <f t="shared" si="3"/>
        <v>49</v>
      </c>
    </row>
    <row r="130" spans="1:7" x14ac:dyDescent="0.35">
      <c r="A130" s="21">
        <v>9</v>
      </c>
      <c r="B130" s="38" t="s">
        <v>106</v>
      </c>
      <c r="C130" s="38" t="s">
        <v>66</v>
      </c>
      <c r="D130" s="39">
        <v>0</v>
      </c>
      <c r="E130" s="39">
        <v>15</v>
      </c>
      <c r="F130" s="18">
        <f t="shared" ref="F130:F193" si="4">IF(A130=1,0,G129)</f>
        <v>49</v>
      </c>
      <c r="G130" s="18">
        <f t="shared" ref="G130:G193" si="5">F130+D130-E130</f>
        <v>34</v>
      </c>
    </row>
    <row r="131" spans="1:7" x14ac:dyDescent="0.35">
      <c r="A131" s="21">
        <v>10</v>
      </c>
      <c r="B131" s="38" t="s">
        <v>106</v>
      </c>
      <c r="C131" s="38" t="s">
        <v>66</v>
      </c>
      <c r="D131" s="39">
        <v>0</v>
      </c>
      <c r="E131" s="39">
        <v>12</v>
      </c>
      <c r="F131" s="18">
        <f t="shared" si="4"/>
        <v>34</v>
      </c>
      <c r="G131" s="18">
        <f t="shared" si="5"/>
        <v>22</v>
      </c>
    </row>
    <row r="132" spans="1:7" x14ac:dyDescent="0.35">
      <c r="A132" s="21">
        <v>11</v>
      </c>
      <c r="B132" s="38" t="s">
        <v>106</v>
      </c>
      <c r="C132" s="38" t="s">
        <v>66</v>
      </c>
      <c r="D132" s="39">
        <v>0</v>
      </c>
      <c r="E132" s="39">
        <v>11</v>
      </c>
      <c r="F132" s="18">
        <f t="shared" si="4"/>
        <v>22</v>
      </c>
      <c r="G132" s="18">
        <f t="shared" si="5"/>
        <v>11</v>
      </c>
    </row>
    <row r="133" spans="1:7" x14ac:dyDescent="0.35">
      <c r="A133" s="21">
        <v>12</v>
      </c>
      <c r="B133" s="38" t="s">
        <v>106</v>
      </c>
      <c r="C133" s="38" t="s">
        <v>66</v>
      </c>
      <c r="D133" s="39">
        <v>0</v>
      </c>
      <c r="E133" s="39">
        <v>10</v>
      </c>
      <c r="F133" s="18">
        <f t="shared" si="4"/>
        <v>11</v>
      </c>
      <c r="G133" s="18">
        <f t="shared" si="5"/>
        <v>1</v>
      </c>
    </row>
    <row r="134" spans="1:7" x14ac:dyDescent="0.35">
      <c r="A134" s="21">
        <v>1</v>
      </c>
      <c r="B134" s="38" t="s">
        <v>106</v>
      </c>
      <c r="C134" s="38" t="s">
        <v>68</v>
      </c>
      <c r="D134" s="39">
        <v>191</v>
      </c>
      <c r="E134" s="39">
        <v>16</v>
      </c>
      <c r="F134" s="18">
        <f t="shared" si="4"/>
        <v>0</v>
      </c>
      <c r="G134" s="18">
        <f t="shared" si="5"/>
        <v>175</v>
      </c>
    </row>
    <row r="135" spans="1:7" x14ac:dyDescent="0.35">
      <c r="A135" s="21">
        <v>2</v>
      </c>
      <c r="B135" s="38" t="s">
        <v>106</v>
      </c>
      <c r="C135" s="38" t="s">
        <v>68</v>
      </c>
      <c r="D135" s="39">
        <v>0</v>
      </c>
      <c r="E135" s="39">
        <v>15</v>
      </c>
      <c r="F135" s="18">
        <f t="shared" si="4"/>
        <v>175</v>
      </c>
      <c r="G135" s="18">
        <f t="shared" si="5"/>
        <v>160</v>
      </c>
    </row>
    <row r="136" spans="1:7" x14ac:dyDescent="0.35">
      <c r="A136" s="21">
        <v>3</v>
      </c>
      <c r="B136" s="38" t="s">
        <v>106</v>
      </c>
      <c r="C136" s="38" t="s">
        <v>68</v>
      </c>
      <c r="D136" s="39">
        <v>0</v>
      </c>
      <c r="E136" s="39">
        <v>11</v>
      </c>
      <c r="F136" s="18">
        <f t="shared" si="4"/>
        <v>160</v>
      </c>
      <c r="G136" s="18">
        <f t="shared" si="5"/>
        <v>149</v>
      </c>
    </row>
    <row r="137" spans="1:7" x14ac:dyDescent="0.35">
      <c r="A137" s="21">
        <v>4</v>
      </c>
      <c r="B137" s="38" t="s">
        <v>106</v>
      </c>
      <c r="C137" s="38" t="s">
        <v>68</v>
      </c>
      <c r="D137" s="39">
        <v>0</v>
      </c>
      <c r="E137" s="39">
        <v>19</v>
      </c>
      <c r="F137" s="18">
        <f t="shared" si="4"/>
        <v>149</v>
      </c>
      <c r="G137" s="18">
        <f t="shared" si="5"/>
        <v>130</v>
      </c>
    </row>
    <row r="138" spans="1:7" x14ac:dyDescent="0.35">
      <c r="A138" s="21">
        <v>5</v>
      </c>
      <c r="B138" s="38" t="s">
        <v>106</v>
      </c>
      <c r="C138" s="38" t="s">
        <v>68</v>
      </c>
      <c r="D138" s="39">
        <v>0</v>
      </c>
      <c r="E138" s="39">
        <v>19</v>
      </c>
      <c r="F138" s="18">
        <f t="shared" si="4"/>
        <v>130</v>
      </c>
      <c r="G138" s="18">
        <f t="shared" si="5"/>
        <v>111</v>
      </c>
    </row>
    <row r="139" spans="1:7" x14ac:dyDescent="0.35">
      <c r="A139" s="21">
        <v>6</v>
      </c>
      <c r="B139" s="38" t="s">
        <v>106</v>
      </c>
      <c r="C139" s="38" t="s">
        <v>68</v>
      </c>
      <c r="D139" s="39">
        <v>0</v>
      </c>
      <c r="E139" s="39">
        <v>12</v>
      </c>
      <c r="F139" s="18">
        <f t="shared" si="4"/>
        <v>111</v>
      </c>
      <c r="G139" s="18">
        <f t="shared" si="5"/>
        <v>99</v>
      </c>
    </row>
    <row r="140" spans="1:7" x14ac:dyDescent="0.35">
      <c r="A140" s="21">
        <v>7</v>
      </c>
      <c r="B140" s="38" t="s">
        <v>106</v>
      </c>
      <c r="C140" s="38" t="s">
        <v>68</v>
      </c>
      <c r="D140" s="39">
        <v>0</v>
      </c>
      <c r="E140" s="39">
        <v>16</v>
      </c>
      <c r="F140" s="18">
        <f t="shared" si="4"/>
        <v>99</v>
      </c>
      <c r="G140" s="18">
        <f t="shared" si="5"/>
        <v>83</v>
      </c>
    </row>
    <row r="141" spans="1:7" x14ac:dyDescent="0.35">
      <c r="A141" s="21">
        <v>8</v>
      </c>
      <c r="B141" s="38" t="s">
        <v>106</v>
      </c>
      <c r="C141" s="38" t="s">
        <v>68</v>
      </c>
      <c r="D141" s="39">
        <v>0</v>
      </c>
      <c r="E141" s="39">
        <v>12</v>
      </c>
      <c r="F141" s="18">
        <f t="shared" si="4"/>
        <v>83</v>
      </c>
      <c r="G141" s="18">
        <f t="shared" si="5"/>
        <v>71</v>
      </c>
    </row>
    <row r="142" spans="1:7" x14ac:dyDescent="0.35">
      <c r="A142" s="21">
        <v>9</v>
      </c>
      <c r="B142" s="38" t="s">
        <v>106</v>
      </c>
      <c r="C142" s="38" t="s">
        <v>68</v>
      </c>
      <c r="D142" s="39">
        <v>0</v>
      </c>
      <c r="E142" s="39">
        <v>17</v>
      </c>
      <c r="F142" s="18">
        <f t="shared" si="4"/>
        <v>71</v>
      </c>
      <c r="G142" s="18">
        <f t="shared" si="5"/>
        <v>54</v>
      </c>
    </row>
    <row r="143" spans="1:7" x14ac:dyDescent="0.35">
      <c r="A143" s="21">
        <v>10</v>
      </c>
      <c r="B143" s="38" t="s">
        <v>106</v>
      </c>
      <c r="C143" s="38" t="s">
        <v>68</v>
      </c>
      <c r="D143" s="39">
        <v>0</v>
      </c>
      <c r="E143" s="39">
        <v>14</v>
      </c>
      <c r="F143" s="18">
        <f t="shared" si="4"/>
        <v>54</v>
      </c>
      <c r="G143" s="18">
        <f t="shared" si="5"/>
        <v>40</v>
      </c>
    </row>
    <row r="144" spans="1:7" x14ac:dyDescent="0.35">
      <c r="A144" s="21">
        <v>11</v>
      </c>
      <c r="B144" s="38" t="s">
        <v>106</v>
      </c>
      <c r="C144" s="38" t="s">
        <v>68</v>
      </c>
      <c r="D144" s="39">
        <v>0</v>
      </c>
      <c r="E144" s="39">
        <v>17</v>
      </c>
      <c r="F144" s="18">
        <f t="shared" si="4"/>
        <v>40</v>
      </c>
      <c r="G144" s="18">
        <f t="shared" si="5"/>
        <v>23</v>
      </c>
    </row>
    <row r="145" spans="1:7" x14ac:dyDescent="0.35">
      <c r="A145" s="21">
        <v>12</v>
      </c>
      <c r="B145" s="38" t="s">
        <v>106</v>
      </c>
      <c r="C145" s="38" t="s">
        <v>68</v>
      </c>
      <c r="D145" s="39">
        <v>0</v>
      </c>
      <c r="E145" s="39">
        <v>18</v>
      </c>
      <c r="F145" s="18">
        <f t="shared" si="4"/>
        <v>23</v>
      </c>
      <c r="G145" s="18">
        <f t="shared" si="5"/>
        <v>5</v>
      </c>
    </row>
    <row r="146" spans="1:7" x14ac:dyDescent="0.35">
      <c r="A146" s="21">
        <v>1</v>
      </c>
      <c r="B146" s="38" t="s">
        <v>108</v>
      </c>
      <c r="C146" s="38" t="s">
        <v>62</v>
      </c>
      <c r="D146" s="39">
        <v>132</v>
      </c>
      <c r="E146" s="39">
        <v>14</v>
      </c>
      <c r="F146" s="18">
        <f t="shared" si="4"/>
        <v>0</v>
      </c>
      <c r="G146" s="18">
        <f t="shared" si="5"/>
        <v>118</v>
      </c>
    </row>
    <row r="147" spans="1:7" x14ac:dyDescent="0.35">
      <c r="A147" s="21">
        <v>2</v>
      </c>
      <c r="B147" s="38" t="s">
        <v>108</v>
      </c>
      <c r="C147" s="38" t="s">
        <v>62</v>
      </c>
      <c r="D147" s="39">
        <v>0</v>
      </c>
      <c r="E147" s="39">
        <v>10</v>
      </c>
      <c r="F147" s="18">
        <f t="shared" si="4"/>
        <v>118</v>
      </c>
      <c r="G147" s="18">
        <f t="shared" si="5"/>
        <v>108</v>
      </c>
    </row>
    <row r="148" spans="1:7" x14ac:dyDescent="0.35">
      <c r="A148" s="21">
        <v>3</v>
      </c>
      <c r="B148" s="38" t="s">
        <v>108</v>
      </c>
      <c r="C148" s="38" t="s">
        <v>62</v>
      </c>
      <c r="D148" s="39">
        <v>0</v>
      </c>
      <c r="E148" s="39">
        <v>8</v>
      </c>
      <c r="F148" s="18">
        <f t="shared" si="4"/>
        <v>108</v>
      </c>
      <c r="G148" s="18">
        <f t="shared" si="5"/>
        <v>100</v>
      </c>
    </row>
    <row r="149" spans="1:7" x14ac:dyDescent="0.35">
      <c r="A149" s="21">
        <v>4</v>
      </c>
      <c r="B149" s="38" t="s">
        <v>108</v>
      </c>
      <c r="C149" s="38" t="s">
        <v>62</v>
      </c>
      <c r="D149" s="39">
        <v>0</v>
      </c>
      <c r="E149" s="39">
        <v>12</v>
      </c>
      <c r="F149" s="18">
        <f t="shared" si="4"/>
        <v>100</v>
      </c>
      <c r="G149" s="18">
        <f t="shared" si="5"/>
        <v>88</v>
      </c>
    </row>
    <row r="150" spans="1:7" x14ac:dyDescent="0.35">
      <c r="A150" s="21">
        <v>5</v>
      </c>
      <c r="B150" s="38" t="s">
        <v>108</v>
      </c>
      <c r="C150" s="38" t="s">
        <v>62</v>
      </c>
      <c r="D150" s="39">
        <v>0</v>
      </c>
      <c r="E150" s="39">
        <v>10</v>
      </c>
      <c r="F150" s="18">
        <f t="shared" si="4"/>
        <v>88</v>
      </c>
      <c r="G150" s="18">
        <f t="shared" si="5"/>
        <v>78</v>
      </c>
    </row>
    <row r="151" spans="1:7" x14ac:dyDescent="0.35">
      <c r="A151" s="21">
        <v>6</v>
      </c>
      <c r="B151" s="38" t="s">
        <v>108</v>
      </c>
      <c r="C151" s="38" t="s">
        <v>62</v>
      </c>
      <c r="D151" s="39">
        <v>0</v>
      </c>
      <c r="E151" s="39">
        <v>14</v>
      </c>
      <c r="F151" s="18">
        <f t="shared" si="4"/>
        <v>78</v>
      </c>
      <c r="G151" s="18">
        <f t="shared" si="5"/>
        <v>64</v>
      </c>
    </row>
    <row r="152" spans="1:7" x14ac:dyDescent="0.35">
      <c r="A152" s="21">
        <v>7</v>
      </c>
      <c r="B152" s="38" t="s">
        <v>108</v>
      </c>
      <c r="C152" s="38" t="s">
        <v>62</v>
      </c>
      <c r="D152" s="39">
        <v>0</v>
      </c>
      <c r="E152" s="39">
        <v>13</v>
      </c>
      <c r="F152" s="18">
        <f t="shared" si="4"/>
        <v>64</v>
      </c>
      <c r="G152" s="18">
        <f t="shared" si="5"/>
        <v>51</v>
      </c>
    </row>
    <row r="153" spans="1:7" x14ac:dyDescent="0.35">
      <c r="A153" s="21">
        <v>8</v>
      </c>
      <c r="B153" s="38" t="s">
        <v>108</v>
      </c>
      <c r="C153" s="38" t="s">
        <v>62</v>
      </c>
      <c r="D153" s="39">
        <v>0</v>
      </c>
      <c r="E153" s="39">
        <v>10</v>
      </c>
      <c r="F153" s="18">
        <f t="shared" si="4"/>
        <v>51</v>
      </c>
      <c r="G153" s="18">
        <f t="shared" si="5"/>
        <v>41</v>
      </c>
    </row>
    <row r="154" spans="1:7" x14ac:dyDescent="0.35">
      <c r="A154" s="21">
        <v>9</v>
      </c>
      <c r="B154" s="38" t="s">
        <v>108</v>
      </c>
      <c r="C154" s="38" t="s">
        <v>62</v>
      </c>
      <c r="D154" s="39">
        <v>0</v>
      </c>
      <c r="E154" s="39">
        <v>14</v>
      </c>
      <c r="F154" s="18">
        <f t="shared" si="4"/>
        <v>41</v>
      </c>
      <c r="G154" s="18">
        <f t="shared" si="5"/>
        <v>27</v>
      </c>
    </row>
    <row r="155" spans="1:7" x14ac:dyDescent="0.35">
      <c r="A155" s="21">
        <v>10</v>
      </c>
      <c r="B155" s="38" t="s">
        <v>108</v>
      </c>
      <c r="C155" s="38" t="s">
        <v>62</v>
      </c>
      <c r="D155" s="39">
        <v>0</v>
      </c>
      <c r="E155" s="39">
        <v>10</v>
      </c>
      <c r="F155" s="18">
        <f t="shared" si="4"/>
        <v>27</v>
      </c>
      <c r="G155" s="18">
        <f t="shared" si="5"/>
        <v>17</v>
      </c>
    </row>
    <row r="156" spans="1:7" x14ac:dyDescent="0.35">
      <c r="A156" s="21">
        <v>11</v>
      </c>
      <c r="B156" s="38" t="s">
        <v>108</v>
      </c>
      <c r="C156" s="38" t="s">
        <v>62</v>
      </c>
      <c r="D156" s="39">
        <v>0</v>
      </c>
      <c r="E156" s="39">
        <v>11</v>
      </c>
      <c r="F156" s="18">
        <f t="shared" si="4"/>
        <v>17</v>
      </c>
      <c r="G156" s="18">
        <f t="shared" si="5"/>
        <v>6</v>
      </c>
    </row>
    <row r="157" spans="1:7" x14ac:dyDescent="0.35">
      <c r="A157" s="21">
        <v>12</v>
      </c>
      <c r="B157" s="38" t="s">
        <v>108</v>
      </c>
      <c r="C157" s="38" t="s">
        <v>62</v>
      </c>
      <c r="D157" s="39">
        <v>0</v>
      </c>
      <c r="E157" s="39">
        <v>6</v>
      </c>
      <c r="F157" s="18">
        <f t="shared" si="4"/>
        <v>6</v>
      </c>
      <c r="G157" s="18">
        <f t="shared" si="5"/>
        <v>0</v>
      </c>
    </row>
    <row r="158" spans="1:7" x14ac:dyDescent="0.35">
      <c r="A158" s="21">
        <v>1</v>
      </c>
      <c r="B158" s="38" t="s">
        <v>108</v>
      </c>
      <c r="C158" s="38" t="s">
        <v>64</v>
      </c>
      <c r="D158" s="39">
        <v>210</v>
      </c>
      <c r="E158" s="39">
        <v>12</v>
      </c>
      <c r="F158" s="18">
        <f t="shared" si="4"/>
        <v>0</v>
      </c>
      <c r="G158" s="18">
        <f t="shared" si="5"/>
        <v>198</v>
      </c>
    </row>
    <row r="159" spans="1:7" x14ac:dyDescent="0.35">
      <c r="A159" s="21">
        <v>2</v>
      </c>
      <c r="B159" s="38" t="s">
        <v>108</v>
      </c>
      <c r="C159" s="38" t="s">
        <v>64</v>
      </c>
      <c r="D159" s="39">
        <v>0</v>
      </c>
      <c r="E159" s="39">
        <v>11</v>
      </c>
      <c r="F159" s="18">
        <f t="shared" si="4"/>
        <v>198</v>
      </c>
      <c r="G159" s="18">
        <f t="shared" si="5"/>
        <v>187</v>
      </c>
    </row>
    <row r="160" spans="1:7" x14ac:dyDescent="0.35">
      <c r="A160" s="21">
        <v>3</v>
      </c>
      <c r="B160" s="38" t="s">
        <v>108</v>
      </c>
      <c r="C160" s="38" t="s">
        <v>64</v>
      </c>
      <c r="D160" s="39">
        <v>0</v>
      </c>
      <c r="E160" s="39">
        <v>15</v>
      </c>
      <c r="F160" s="18">
        <f t="shared" si="4"/>
        <v>187</v>
      </c>
      <c r="G160" s="18">
        <f t="shared" si="5"/>
        <v>172</v>
      </c>
    </row>
    <row r="161" spans="1:7" x14ac:dyDescent="0.35">
      <c r="A161" s="21">
        <v>4</v>
      </c>
      <c r="B161" s="38" t="s">
        <v>108</v>
      </c>
      <c r="C161" s="38" t="s">
        <v>64</v>
      </c>
      <c r="D161" s="39">
        <v>0</v>
      </c>
      <c r="E161" s="39">
        <v>20</v>
      </c>
      <c r="F161" s="18">
        <f t="shared" si="4"/>
        <v>172</v>
      </c>
      <c r="G161" s="18">
        <f t="shared" si="5"/>
        <v>152</v>
      </c>
    </row>
    <row r="162" spans="1:7" x14ac:dyDescent="0.35">
      <c r="A162" s="21">
        <v>5</v>
      </c>
      <c r="B162" s="38" t="s">
        <v>108</v>
      </c>
      <c r="C162" s="38" t="s">
        <v>64</v>
      </c>
      <c r="D162" s="39">
        <v>0</v>
      </c>
      <c r="E162" s="39">
        <v>19</v>
      </c>
      <c r="F162" s="18">
        <f t="shared" si="4"/>
        <v>152</v>
      </c>
      <c r="G162" s="18">
        <f t="shared" si="5"/>
        <v>133</v>
      </c>
    </row>
    <row r="163" spans="1:7" x14ac:dyDescent="0.35">
      <c r="A163" s="21">
        <v>6</v>
      </c>
      <c r="B163" s="38" t="s">
        <v>108</v>
      </c>
      <c r="C163" s="38" t="s">
        <v>64</v>
      </c>
      <c r="D163" s="39">
        <v>0</v>
      </c>
      <c r="E163" s="39">
        <v>18</v>
      </c>
      <c r="F163" s="18">
        <f t="shared" si="4"/>
        <v>133</v>
      </c>
      <c r="G163" s="18">
        <f t="shared" si="5"/>
        <v>115</v>
      </c>
    </row>
    <row r="164" spans="1:7" x14ac:dyDescent="0.35">
      <c r="A164" s="21">
        <v>7</v>
      </c>
      <c r="B164" s="38" t="s">
        <v>108</v>
      </c>
      <c r="C164" s="38" t="s">
        <v>64</v>
      </c>
      <c r="D164" s="39">
        <v>0</v>
      </c>
      <c r="E164" s="39">
        <v>19</v>
      </c>
      <c r="F164" s="18">
        <f t="shared" si="4"/>
        <v>115</v>
      </c>
      <c r="G164" s="18">
        <f t="shared" si="5"/>
        <v>96</v>
      </c>
    </row>
    <row r="165" spans="1:7" x14ac:dyDescent="0.35">
      <c r="A165" s="21">
        <v>8</v>
      </c>
      <c r="B165" s="38" t="s">
        <v>108</v>
      </c>
      <c r="C165" s="38" t="s">
        <v>64</v>
      </c>
      <c r="D165" s="39">
        <v>0</v>
      </c>
      <c r="E165" s="39">
        <v>19</v>
      </c>
      <c r="F165" s="18">
        <f t="shared" si="4"/>
        <v>96</v>
      </c>
      <c r="G165" s="18">
        <f t="shared" si="5"/>
        <v>77</v>
      </c>
    </row>
    <row r="166" spans="1:7" x14ac:dyDescent="0.35">
      <c r="A166" s="21">
        <v>9</v>
      </c>
      <c r="B166" s="38" t="s">
        <v>108</v>
      </c>
      <c r="C166" s="38" t="s">
        <v>64</v>
      </c>
      <c r="D166" s="39">
        <v>0</v>
      </c>
      <c r="E166" s="39">
        <v>15</v>
      </c>
      <c r="F166" s="18">
        <f t="shared" si="4"/>
        <v>77</v>
      </c>
      <c r="G166" s="18">
        <f t="shared" si="5"/>
        <v>62</v>
      </c>
    </row>
    <row r="167" spans="1:7" x14ac:dyDescent="0.35">
      <c r="A167" s="21">
        <v>10</v>
      </c>
      <c r="B167" s="38" t="s">
        <v>108</v>
      </c>
      <c r="C167" s="38" t="s">
        <v>64</v>
      </c>
      <c r="D167" s="39">
        <v>0</v>
      </c>
      <c r="E167" s="39">
        <v>14</v>
      </c>
      <c r="F167" s="18">
        <f t="shared" si="4"/>
        <v>62</v>
      </c>
      <c r="G167" s="18">
        <f t="shared" si="5"/>
        <v>48</v>
      </c>
    </row>
    <row r="168" spans="1:7" x14ac:dyDescent="0.35">
      <c r="A168" s="21">
        <v>11</v>
      </c>
      <c r="B168" s="38" t="s">
        <v>108</v>
      </c>
      <c r="C168" s="38" t="s">
        <v>64</v>
      </c>
      <c r="D168" s="39">
        <v>0</v>
      </c>
      <c r="E168" s="39">
        <v>18</v>
      </c>
      <c r="F168" s="18">
        <f t="shared" si="4"/>
        <v>48</v>
      </c>
      <c r="G168" s="18">
        <f t="shared" si="5"/>
        <v>30</v>
      </c>
    </row>
    <row r="169" spans="1:7" x14ac:dyDescent="0.35">
      <c r="A169" s="21">
        <v>12</v>
      </c>
      <c r="B169" s="38" t="s">
        <v>108</v>
      </c>
      <c r="C169" s="38" t="s">
        <v>64</v>
      </c>
      <c r="D169" s="39">
        <v>0</v>
      </c>
      <c r="E169" s="39">
        <v>17</v>
      </c>
      <c r="F169" s="18">
        <f t="shared" si="4"/>
        <v>30</v>
      </c>
      <c r="G169" s="18">
        <f t="shared" si="5"/>
        <v>13</v>
      </c>
    </row>
    <row r="170" spans="1:7" x14ac:dyDescent="0.35">
      <c r="A170" s="21">
        <v>1</v>
      </c>
      <c r="B170" s="38" t="s">
        <v>108</v>
      </c>
      <c r="C170" s="38" t="s">
        <v>66</v>
      </c>
      <c r="D170" s="39">
        <v>118</v>
      </c>
      <c r="E170" s="39">
        <v>7</v>
      </c>
      <c r="F170" s="18">
        <f t="shared" si="4"/>
        <v>0</v>
      </c>
      <c r="G170" s="18">
        <f t="shared" si="5"/>
        <v>111</v>
      </c>
    </row>
    <row r="171" spans="1:7" x14ac:dyDescent="0.35">
      <c r="A171" s="21">
        <v>2</v>
      </c>
      <c r="B171" s="38" t="s">
        <v>108</v>
      </c>
      <c r="C171" s="38" t="s">
        <v>66</v>
      </c>
      <c r="D171" s="39">
        <v>0</v>
      </c>
      <c r="E171" s="39">
        <v>11</v>
      </c>
      <c r="F171" s="18">
        <f t="shared" si="4"/>
        <v>111</v>
      </c>
      <c r="G171" s="18">
        <f t="shared" si="5"/>
        <v>100</v>
      </c>
    </row>
    <row r="172" spans="1:7" x14ac:dyDescent="0.35">
      <c r="A172" s="21">
        <v>3</v>
      </c>
      <c r="B172" s="38" t="s">
        <v>108</v>
      </c>
      <c r="C172" s="38" t="s">
        <v>66</v>
      </c>
      <c r="D172" s="39">
        <v>0</v>
      </c>
      <c r="E172" s="39">
        <v>8</v>
      </c>
      <c r="F172" s="18">
        <f t="shared" si="4"/>
        <v>100</v>
      </c>
      <c r="G172" s="18">
        <f t="shared" si="5"/>
        <v>92</v>
      </c>
    </row>
    <row r="173" spans="1:7" x14ac:dyDescent="0.35">
      <c r="A173" s="21">
        <v>4</v>
      </c>
      <c r="B173" s="38" t="s">
        <v>108</v>
      </c>
      <c r="C173" s="38" t="s">
        <v>66</v>
      </c>
      <c r="D173" s="39">
        <v>0</v>
      </c>
      <c r="E173" s="39">
        <v>12</v>
      </c>
      <c r="F173" s="18">
        <f t="shared" si="4"/>
        <v>92</v>
      </c>
      <c r="G173" s="18">
        <f t="shared" si="5"/>
        <v>80</v>
      </c>
    </row>
    <row r="174" spans="1:7" x14ac:dyDescent="0.35">
      <c r="A174" s="21">
        <v>5</v>
      </c>
      <c r="B174" s="38" t="s">
        <v>108</v>
      </c>
      <c r="C174" s="38" t="s">
        <v>66</v>
      </c>
      <c r="D174" s="39">
        <v>0</v>
      </c>
      <c r="E174" s="39">
        <v>8</v>
      </c>
      <c r="F174" s="18">
        <f t="shared" si="4"/>
        <v>80</v>
      </c>
      <c r="G174" s="18">
        <f t="shared" si="5"/>
        <v>72</v>
      </c>
    </row>
    <row r="175" spans="1:7" x14ac:dyDescent="0.35">
      <c r="A175" s="21">
        <v>6</v>
      </c>
      <c r="B175" s="38" t="s">
        <v>108</v>
      </c>
      <c r="C175" s="38" t="s">
        <v>66</v>
      </c>
      <c r="D175" s="39">
        <v>0</v>
      </c>
      <c r="E175" s="39">
        <v>7</v>
      </c>
      <c r="F175" s="18">
        <f t="shared" si="4"/>
        <v>72</v>
      </c>
      <c r="G175" s="18">
        <f t="shared" si="5"/>
        <v>65</v>
      </c>
    </row>
    <row r="176" spans="1:7" x14ac:dyDescent="0.35">
      <c r="A176" s="21">
        <v>7</v>
      </c>
      <c r="B176" s="38" t="s">
        <v>108</v>
      </c>
      <c r="C176" s="38" t="s">
        <v>66</v>
      </c>
      <c r="D176" s="39">
        <v>0</v>
      </c>
      <c r="E176" s="39">
        <v>12</v>
      </c>
      <c r="F176" s="18">
        <f t="shared" si="4"/>
        <v>65</v>
      </c>
      <c r="G176" s="18">
        <f t="shared" si="5"/>
        <v>53</v>
      </c>
    </row>
    <row r="177" spans="1:7" x14ac:dyDescent="0.35">
      <c r="A177" s="21">
        <v>8</v>
      </c>
      <c r="B177" s="38" t="s">
        <v>108</v>
      </c>
      <c r="C177" s="38" t="s">
        <v>66</v>
      </c>
      <c r="D177" s="39">
        <v>0</v>
      </c>
      <c r="E177" s="39">
        <v>8</v>
      </c>
      <c r="F177" s="18">
        <f t="shared" si="4"/>
        <v>53</v>
      </c>
      <c r="G177" s="18">
        <f t="shared" si="5"/>
        <v>45</v>
      </c>
    </row>
    <row r="178" spans="1:7" x14ac:dyDescent="0.35">
      <c r="A178" s="21">
        <v>9</v>
      </c>
      <c r="B178" s="38" t="s">
        <v>108</v>
      </c>
      <c r="C178" s="38" t="s">
        <v>66</v>
      </c>
      <c r="D178" s="39">
        <v>0</v>
      </c>
      <c r="E178" s="39">
        <v>8</v>
      </c>
      <c r="F178" s="18">
        <f t="shared" si="4"/>
        <v>45</v>
      </c>
      <c r="G178" s="18">
        <f t="shared" si="5"/>
        <v>37</v>
      </c>
    </row>
    <row r="179" spans="1:7" x14ac:dyDescent="0.35">
      <c r="A179" s="21">
        <v>10</v>
      </c>
      <c r="B179" s="38" t="s">
        <v>108</v>
      </c>
      <c r="C179" s="38" t="s">
        <v>66</v>
      </c>
      <c r="D179" s="39">
        <v>0</v>
      </c>
      <c r="E179" s="39">
        <v>10</v>
      </c>
      <c r="F179" s="18">
        <f t="shared" si="4"/>
        <v>37</v>
      </c>
      <c r="G179" s="18">
        <f t="shared" si="5"/>
        <v>27</v>
      </c>
    </row>
    <row r="180" spans="1:7" x14ac:dyDescent="0.35">
      <c r="A180" s="21">
        <v>11</v>
      </c>
      <c r="B180" s="38" t="s">
        <v>108</v>
      </c>
      <c r="C180" s="38" t="s">
        <v>66</v>
      </c>
      <c r="D180" s="39">
        <v>0</v>
      </c>
      <c r="E180" s="39">
        <v>12</v>
      </c>
      <c r="F180" s="18">
        <f t="shared" si="4"/>
        <v>27</v>
      </c>
      <c r="G180" s="18">
        <f t="shared" si="5"/>
        <v>15</v>
      </c>
    </row>
    <row r="181" spans="1:7" x14ac:dyDescent="0.35">
      <c r="A181" s="21">
        <v>12</v>
      </c>
      <c r="B181" s="38" t="s">
        <v>108</v>
      </c>
      <c r="C181" s="38" t="s">
        <v>66</v>
      </c>
      <c r="D181" s="39">
        <v>0</v>
      </c>
      <c r="E181" s="39">
        <v>8</v>
      </c>
      <c r="F181" s="18">
        <f t="shared" si="4"/>
        <v>15</v>
      </c>
      <c r="G181" s="18">
        <f t="shared" si="5"/>
        <v>7</v>
      </c>
    </row>
    <row r="182" spans="1:7" x14ac:dyDescent="0.35">
      <c r="A182" s="21">
        <v>1</v>
      </c>
      <c r="B182" s="38" t="s">
        <v>108</v>
      </c>
      <c r="C182" s="38" t="s">
        <v>68</v>
      </c>
      <c r="D182" s="39">
        <v>158</v>
      </c>
      <c r="E182" s="39">
        <v>15</v>
      </c>
      <c r="F182" s="18">
        <f t="shared" si="4"/>
        <v>0</v>
      </c>
      <c r="G182" s="18">
        <f t="shared" si="5"/>
        <v>143</v>
      </c>
    </row>
    <row r="183" spans="1:7" x14ac:dyDescent="0.35">
      <c r="A183" s="21">
        <v>2</v>
      </c>
      <c r="B183" s="38" t="s">
        <v>108</v>
      </c>
      <c r="C183" s="38" t="s">
        <v>68</v>
      </c>
      <c r="D183" s="39">
        <v>0</v>
      </c>
      <c r="E183" s="39">
        <v>17</v>
      </c>
      <c r="F183" s="18">
        <f t="shared" si="4"/>
        <v>143</v>
      </c>
      <c r="G183" s="18">
        <f t="shared" si="5"/>
        <v>126</v>
      </c>
    </row>
    <row r="184" spans="1:7" x14ac:dyDescent="0.35">
      <c r="A184" s="21">
        <v>3</v>
      </c>
      <c r="B184" s="38" t="s">
        <v>108</v>
      </c>
      <c r="C184" s="38" t="s">
        <v>68</v>
      </c>
      <c r="D184" s="39">
        <v>0</v>
      </c>
      <c r="E184" s="39">
        <v>13</v>
      </c>
      <c r="F184" s="18">
        <f t="shared" si="4"/>
        <v>126</v>
      </c>
      <c r="G184" s="18">
        <f t="shared" si="5"/>
        <v>113</v>
      </c>
    </row>
    <row r="185" spans="1:7" x14ac:dyDescent="0.35">
      <c r="A185" s="21">
        <v>4</v>
      </c>
      <c r="B185" s="38" t="s">
        <v>108</v>
      </c>
      <c r="C185" s="38" t="s">
        <v>68</v>
      </c>
      <c r="D185" s="39">
        <v>0</v>
      </c>
      <c r="E185" s="39">
        <v>10</v>
      </c>
      <c r="F185" s="18">
        <f t="shared" si="4"/>
        <v>113</v>
      </c>
      <c r="G185" s="18">
        <f t="shared" si="5"/>
        <v>103</v>
      </c>
    </row>
    <row r="186" spans="1:7" x14ac:dyDescent="0.35">
      <c r="A186" s="21">
        <v>5</v>
      </c>
      <c r="B186" s="38" t="s">
        <v>108</v>
      </c>
      <c r="C186" s="38" t="s">
        <v>68</v>
      </c>
      <c r="D186" s="39">
        <v>0</v>
      </c>
      <c r="E186" s="39">
        <v>9</v>
      </c>
      <c r="F186" s="18">
        <f t="shared" si="4"/>
        <v>103</v>
      </c>
      <c r="G186" s="18">
        <f t="shared" si="5"/>
        <v>94</v>
      </c>
    </row>
    <row r="187" spans="1:7" x14ac:dyDescent="0.35">
      <c r="A187" s="21">
        <v>6</v>
      </c>
      <c r="B187" s="38" t="s">
        <v>108</v>
      </c>
      <c r="C187" s="38" t="s">
        <v>68</v>
      </c>
      <c r="D187" s="39">
        <v>0</v>
      </c>
      <c r="E187" s="39">
        <v>11</v>
      </c>
      <c r="F187" s="18">
        <f t="shared" si="4"/>
        <v>94</v>
      </c>
      <c r="G187" s="18">
        <f t="shared" si="5"/>
        <v>83</v>
      </c>
    </row>
    <row r="188" spans="1:7" x14ac:dyDescent="0.35">
      <c r="A188" s="21">
        <v>7</v>
      </c>
      <c r="B188" s="38" t="s">
        <v>108</v>
      </c>
      <c r="C188" s="38" t="s">
        <v>68</v>
      </c>
      <c r="D188" s="39">
        <v>0</v>
      </c>
      <c r="E188" s="39">
        <v>10</v>
      </c>
      <c r="F188" s="18">
        <f t="shared" si="4"/>
        <v>83</v>
      </c>
      <c r="G188" s="18">
        <f t="shared" si="5"/>
        <v>73</v>
      </c>
    </row>
    <row r="189" spans="1:7" x14ac:dyDescent="0.35">
      <c r="A189" s="21">
        <v>8</v>
      </c>
      <c r="B189" s="38" t="s">
        <v>108</v>
      </c>
      <c r="C189" s="38" t="s">
        <v>68</v>
      </c>
      <c r="D189" s="39">
        <v>0</v>
      </c>
      <c r="E189" s="39">
        <v>14</v>
      </c>
      <c r="F189" s="18">
        <f t="shared" si="4"/>
        <v>73</v>
      </c>
      <c r="G189" s="18">
        <f t="shared" si="5"/>
        <v>59</v>
      </c>
    </row>
    <row r="190" spans="1:7" x14ac:dyDescent="0.35">
      <c r="A190" s="21">
        <v>9</v>
      </c>
      <c r="B190" s="38" t="s">
        <v>108</v>
      </c>
      <c r="C190" s="38" t="s">
        <v>68</v>
      </c>
      <c r="D190" s="39">
        <v>0</v>
      </c>
      <c r="E190" s="39">
        <v>10</v>
      </c>
      <c r="F190" s="18">
        <f t="shared" si="4"/>
        <v>59</v>
      </c>
      <c r="G190" s="18">
        <f t="shared" si="5"/>
        <v>49</v>
      </c>
    </row>
    <row r="191" spans="1:7" x14ac:dyDescent="0.35">
      <c r="A191" s="21">
        <v>10</v>
      </c>
      <c r="B191" s="38" t="s">
        <v>108</v>
      </c>
      <c r="C191" s="38" t="s">
        <v>68</v>
      </c>
      <c r="D191" s="39">
        <v>0</v>
      </c>
      <c r="E191" s="39">
        <v>13</v>
      </c>
      <c r="F191" s="18">
        <f t="shared" si="4"/>
        <v>49</v>
      </c>
      <c r="G191" s="18">
        <f t="shared" si="5"/>
        <v>36</v>
      </c>
    </row>
    <row r="192" spans="1:7" x14ac:dyDescent="0.35">
      <c r="A192" s="21">
        <v>11</v>
      </c>
      <c r="B192" s="38" t="s">
        <v>108</v>
      </c>
      <c r="C192" s="38" t="s">
        <v>68</v>
      </c>
      <c r="D192" s="39">
        <v>0</v>
      </c>
      <c r="E192" s="39">
        <v>15</v>
      </c>
      <c r="F192" s="18">
        <f t="shared" si="4"/>
        <v>36</v>
      </c>
      <c r="G192" s="18">
        <f t="shared" si="5"/>
        <v>21</v>
      </c>
    </row>
    <row r="193" spans="1:7" x14ac:dyDescent="0.35">
      <c r="A193" s="21">
        <v>12</v>
      </c>
      <c r="B193" s="38" t="s">
        <v>108</v>
      </c>
      <c r="C193" s="38" t="s">
        <v>68</v>
      </c>
      <c r="D193" s="39">
        <v>0</v>
      </c>
      <c r="E193" s="39">
        <v>14</v>
      </c>
      <c r="F193" s="18">
        <f t="shared" si="4"/>
        <v>21</v>
      </c>
      <c r="G193" s="18">
        <f t="shared" si="5"/>
        <v>7</v>
      </c>
    </row>
    <row r="194" spans="1:7" x14ac:dyDescent="0.35">
      <c r="A194" s="21">
        <v>1</v>
      </c>
      <c r="B194" s="38" t="s">
        <v>112</v>
      </c>
      <c r="C194" s="38" t="s">
        <v>62</v>
      </c>
      <c r="D194" s="39">
        <v>114</v>
      </c>
      <c r="E194" s="39">
        <v>10</v>
      </c>
      <c r="F194" s="18">
        <f t="shared" ref="F194:F257" si="6">IF(A194=1,0,G193)</f>
        <v>0</v>
      </c>
      <c r="G194" s="18">
        <f t="shared" ref="G194:G257" si="7">F194+D194-E194</f>
        <v>104</v>
      </c>
    </row>
    <row r="195" spans="1:7" x14ac:dyDescent="0.35">
      <c r="A195" s="21">
        <v>2</v>
      </c>
      <c r="B195" s="38" t="s">
        <v>112</v>
      </c>
      <c r="C195" s="38" t="s">
        <v>62</v>
      </c>
      <c r="D195" s="39">
        <v>0</v>
      </c>
      <c r="E195" s="39">
        <v>10</v>
      </c>
      <c r="F195" s="18">
        <f t="shared" si="6"/>
        <v>104</v>
      </c>
      <c r="G195" s="18">
        <f t="shared" si="7"/>
        <v>94</v>
      </c>
    </row>
    <row r="196" spans="1:7" x14ac:dyDescent="0.35">
      <c r="A196" s="21">
        <v>3</v>
      </c>
      <c r="B196" s="38" t="s">
        <v>112</v>
      </c>
      <c r="C196" s="38" t="s">
        <v>62</v>
      </c>
      <c r="D196" s="39">
        <v>0</v>
      </c>
      <c r="E196" s="39">
        <v>7</v>
      </c>
      <c r="F196" s="18">
        <f t="shared" si="6"/>
        <v>94</v>
      </c>
      <c r="G196" s="18">
        <f t="shared" si="7"/>
        <v>87</v>
      </c>
    </row>
    <row r="197" spans="1:7" x14ac:dyDescent="0.35">
      <c r="A197" s="21">
        <v>4</v>
      </c>
      <c r="B197" s="38" t="s">
        <v>112</v>
      </c>
      <c r="C197" s="38" t="s">
        <v>62</v>
      </c>
      <c r="D197" s="39">
        <v>0</v>
      </c>
      <c r="E197" s="39">
        <v>7</v>
      </c>
      <c r="F197" s="18">
        <f t="shared" si="6"/>
        <v>87</v>
      </c>
      <c r="G197" s="18">
        <f t="shared" si="7"/>
        <v>80</v>
      </c>
    </row>
    <row r="198" spans="1:7" x14ac:dyDescent="0.35">
      <c r="A198" s="21">
        <v>5</v>
      </c>
      <c r="B198" s="38" t="s">
        <v>112</v>
      </c>
      <c r="C198" s="38" t="s">
        <v>62</v>
      </c>
      <c r="D198" s="39">
        <v>0</v>
      </c>
      <c r="E198" s="39">
        <v>11</v>
      </c>
      <c r="F198" s="18">
        <f t="shared" si="6"/>
        <v>80</v>
      </c>
      <c r="G198" s="18">
        <f t="shared" si="7"/>
        <v>69</v>
      </c>
    </row>
    <row r="199" spans="1:7" x14ac:dyDescent="0.35">
      <c r="A199" s="21">
        <v>6</v>
      </c>
      <c r="B199" s="38" t="s">
        <v>112</v>
      </c>
      <c r="C199" s="38" t="s">
        <v>62</v>
      </c>
      <c r="D199" s="39">
        <v>0</v>
      </c>
      <c r="E199" s="39">
        <v>8</v>
      </c>
      <c r="F199" s="18">
        <f t="shared" si="6"/>
        <v>69</v>
      </c>
      <c r="G199" s="18">
        <f t="shared" si="7"/>
        <v>61</v>
      </c>
    </row>
    <row r="200" spans="1:7" x14ac:dyDescent="0.35">
      <c r="A200" s="21">
        <v>7</v>
      </c>
      <c r="B200" s="38" t="s">
        <v>112</v>
      </c>
      <c r="C200" s="38" t="s">
        <v>62</v>
      </c>
      <c r="D200" s="39">
        <v>0</v>
      </c>
      <c r="E200" s="39">
        <v>7</v>
      </c>
      <c r="F200" s="18">
        <f t="shared" si="6"/>
        <v>61</v>
      </c>
      <c r="G200" s="18">
        <f t="shared" si="7"/>
        <v>54</v>
      </c>
    </row>
    <row r="201" spans="1:7" x14ac:dyDescent="0.35">
      <c r="A201" s="21">
        <v>8</v>
      </c>
      <c r="B201" s="38" t="s">
        <v>112</v>
      </c>
      <c r="C201" s="38" t="s">
        <v>62</v>
      </c>
      <c r="D201" s="39">
        <v>0</v>
      </c>
      <c r="E201" s="39">
        <v>8</v>
      </c>
      <c r="F201" s="18">
        <f t="shared" si="6"/>
        <v>54</v>
      </c>
      <c r="G201" s="18">
        <f t="shared" si="7"/>
        <v>46</v>
      </c>
    </row>
    <row r="202" spans="1:7" x14ac:dyDescent="0.35">
      <c r="A202" s="21">
        <v>9</v>
      </c>
      <c r="B202" s="38" t="s">
        <v>112</v>
      </c>
      <c r="C202" s="38" t="s">
        <v>62</v>
      </c>
      <c r="D202" s="39">
        <v>0</v>
      </c>
      <c r="E202" s="39">
        <v>9</v>
      </c>
      <c r="F202" s="18">
        <f t="shared" si="6"/>
        <v>46</v>
      </c>
      <c r="G202" s="18">
        <f t="shared" si="7"/>
        <v>37</v>
      </c>
    </row>
    <row r="203" spans="1:7" x14ac:dyDescent="0.35">
      <c r="A203" s="21">
        <v>10</v>
      </c>
      <c r="B203" s="38" t="s">
        <v>112</v>
      </c>
      <c r="C203" s="38" t="s">
        <v>62</v>
      </c>
      <c r="D203" s="39">
        <v>0</v>
      </c>
      <c r="E203" s="39">
        <v>11</v>
      </c>
      <c r="F203" s="18">
        <f t="shared" si="6"/>
        <v>37</v>
      </c>
      <c r="G203" s="18">
        <f t="shared" si="7"/>
        <v>26</v>
      </c>
    </row>
    <row r="204" spans="1:7" x14ac:dyDescent="0.35">
      <c r="A204" s="21">
        <v>11</v>
      </c>
      <c r="B204" s="38" t="s">
        <v>112</v>
      </c>
      <c r="C204" s="38" t="s">
        <v>62</v>
      </c>
      <c r="D204" s="39">
        <v>0</v>
      </c>
      <c r="E204" s="39">
        <v>7</v>
      </c>
      <c r="F204" s="18">
        <f t="shared" si="6"/>
        <v>26</v>
      </c>
      <c r="G204" s="18">
        <f t="shared" si="7"/>
        <v>19</v>
      </c>
    </row>
    <row r="205" spans="1:7" x14ac:dyDescent="0.35">
      <c r="A205" s="21">
        <v>12</v>
      </c>
      <c r="B205" s="38" t="s">
        <v>112</v>
      </c>
      <c r="C205" s="38" t="s">
        <v>62</v>
      </c>
      <c r="D205" s="39">
        <v>0</v>
      </c>
      <c r="E205" s="39">
        <v>11</v>
      </c>
      <c r="F205" s="18">
        <f t="shared" si="6"/>
        <v>19</v>
      </c>
      <c r="G205" s="18">
        <f t="shared" si="7"/>
        <v>8</v>
      </c>
    </row>
    <row r="206" spans="1:7" x14ac:dyDescent="0.35">
      <c r="A206" s="21">
        <v>1</v>
      </c>
      <c r="B206" s="38" t="s">
        <v>112</v>
      </c>
      <c r="C206" s="38" t="s">
        <v>64</v>
      </c>
      <c r="D206" s="39">
        <v>131</v>
      </c>
      <c r="E206" s="39">
        <v>12</v>
      </c>
      <c r="F206" s="18">
        <f t="shared" si="6"/>
        <v>0</v>
      </c>
      <c r="G206" s="18">
        <f t="shared" si="7"/>
        <v>119</v>
      </c>
    </row>
    <row r="207" spans="1:7" x14ac:dyDescent="0.35">
      <c r="A207" s="21">
        <v>2</v>
      </c>
      <c r="B207" s="38" t="s">
        <v>112</v>
      </c>
      <c r="C207" s="38" t="s">
        <v>64</v>
      </c>
      <c r="D207" s="39">
        <v>0</v>
      </c>
      <c r="E207" s="39">
        <v>12</v>
      </c>
      <c r="F207" s="18">
        <f t="shared" si="6"/>
        <v>119</v>
      </c>
      <c r="G207" s="18">
        <f t="shared" si="7"/>
        <v>107</v>
      </c>
    </row>
    <row r="208" spans="1:7" x14ac:dyDescent="0.35">
      <c r="A208" s="21">
        <v>3</v>
      </c>
      <c r="B208" s="38" t="s">
        <v>112</v>
      </c>
      <c r="C208" s="38" t="s">
        <v>64</v>
      </c>
      <c r="D208" s="39">
        <v>0</v>
      </c>
      <c r="E208" s="39">
        <v>9</v>
      </c>
      <c r="F208" s="18">
        <f t="shared" si="6"/>
        <v>107</v>
      </c>
      <c r="G208" s="18">
        <f t="shared" si="7"/>
        <v>98</v>
      </c>
    </row>
    <row r="209" spans="1:7" x14ac:dyDescent="0.35">
      <c r="A209" s="21">
        <v>4</v>
      </c>
      <c r="B209" s="38" t="s">
        <v>112</v>
      </c>
      <c r="C209" s="38" t="s">
        <v>64</v>
      </c>
      <c r="D209" s="39">
        <v>0</v>
      </c>
      <c r="E209" s="39">
        <v>9</v>
      </c>
      <c r="F209" s="18">
        <f t="shared" si="6"/>
        <v>98</v>
      </c>
      <c r="G209" s="18">
        <f t="shared" si="7"/>
        <v>89</v>
      </c>
    </row>
    <row r="210" spans="1:7" x14ac:dyDescent="0.35">
      <c r="A210" s="21">
        <v>5</v>
      </c>
      <c r="B210" s="38" t="s">
        <v>112</v>
      </c>
      <c r="C210" s="38" t="s">
        <v>64</v>
      </c>
      <c r="D210" s="39">
        <v>0</v>
      </c>
      <c r="E210" s="39">
        <v>11</v>
      </c>
      <c r="F210" s="18">
        <f t="shared" si="6"/>
        <v>89</v>
      </c>
      <c r="G210" s="18">
        <f t="shared" si="7"/>
        <v>78</v>
      </c>
    </row>
    <row r="211" spans="1:7" x14ac:dyDescent="0.35">
      <c r="A211" s="21">
        <v>6</v>
      </c>
      <c r="B211" s="38" t="s">
        <v>112</v>
      </c>
      <c r="C211" s="38" t="s">
        <v>64</v>
      </c>
      <c r="D211" s="39">
        <v>0</v>
      </c>
      <c r="E211" s="39">
        <v>15</v>
      </c>
      <c r="F211" s="18">
        <f t="shared" si="6"/>
        <v>78</v>
      </c>
      <c r="G211" s="18">
        <f t="shared" si="7"/>
        <v>63</v>
      </c>
    </row>
    <row r="212" spans="1:7" x14ac:dyDescent="0.35">
      <c r="A212" s="21">
        <v>7</v>
      </c>
      <c r="B212" s="38" t="s">
        <v>112</v>
      </c>
      <c r="C212" s="38" t="s">
        <v>64</v>
      </c>
      <c r="D212" s="39">
        <v>0</v>
      </c>
      <c r="E212" s="39">
        <v>12</v>
      </c>
      <c r="F212" s="18">
        <f t="shared" si="6"/>
        <v>63</v>
      </c>
      <c r="G212" s="18">
        <f t="shared" si="7"/>
        <v>51</v>
      </c>
    </row>
    <row r="213" spans="1:7" x14ac:dyDescent="0.35">
      <c r="A213" s="21">
        <v>8</v>
      </c>
      <c r="B213" s="38" t="s">
        <v>112</v>
      </c>
      <c r="C213" s="38" t="s">
        <v>64</v>
      </c>
      <c r="D213" s="39">
        <v>0</v>
      </c>
      <c r="E213" s="39">
        <v>14</v>
      </c>
      <c r="F213" s="18">
        <f t="shared" si="6"/>
        <v>51</v>
      </c>
      <c r="G213" s="18">
        <f t="shared" si="7"/>
        <v>37</v>
      </c>
    </row>
    <row r="214" spans="1:7" x14ac:dyDescent="0.35">
      <c r="A214" s="21">
        <v>9</v>
      </c>
      <c r="B214" s="38" t="s">
        <v>112</v>
      </c>
      <c r="C214" s="38" t="s">
        <v>64</v>
      </c>
      <c r="D214" s="39">
        <v>0</v>
      </c>
      <c r="E214" s="39">
        <v>14</v>
      </c>
      <c r="F214" s="18">
        <f t="shared" si="6"/>
        <v>37</v>
      </c>
      <c r="G214" s="18">
        <f t="shared" si="7"/>
        <v>23</v>
      </c>
    </row>
    <row r="215" spans="1:7" x14ac:dyDescent="0.35">
      <c r="A215" s="21">
        <v>10</v>
      </c>
      <c r="B215" s="38" t="s">
        <v>112</v>
      </c>
      <c r="C215" s="38" t="s">
        <v>64</v>
      </c>
      <c r="D215" s="39">
        <v>0</v>
      </c>
      <c r="E215" s="39">
        <v>11</v>
      </c>
      <c r="F215" s="18">
        <f t="shared" si="6"/>
        <v>23</v>
      </c>
      <c r="G215" s="18">
        <f t="shared" si="7"/>
        <v>12</v>
      </c>
    </row>
    <row r="216" spans="1:7" x14ac:dyDescent="0.35">
      <c r="A216" s="21">
        <v>11</v>
      </c>
      <c r="B216" s="38" t="s">
        <v>112</v>
      </c>
      <c r="C216" s="38" t="s">
        <v>64</v>
      </c>
      <c r="D216" s="39">
        <v>0</v>
      </c>
      <c r="E216" s="39">
        <v>12</v>
      </c>
      <c r="F216" s="18">
        <f t="shared" si="6"/>
        <v>12</v>
      </c>
      <c r="G216" s="18">
        <f t="shared" si="7"/>
        <v>0</v>
      </c>
    </row>
    <row r="217" spans="1:7" x14ac:dyDescent="0.35">
      <c r="A217" s="21">
        <v>12</v>
      </c>
      <c r="B217" s="38" t="s">
        <v>112</v>
      </c>
      <c r="C217" s="38" t="s">
        <v>64</v>
      </c>
      <c r="D217" s="39">
        <v>0</v>
      </c>
      <c r="E217" s="39">
        <v>0</v>
      </c>
      <c r="F217" s="18">
        <f t="shared" si="6"/>
        <v>0</v>
      </c>
      <c r="G217" s="18">
        <f t="shared" si="7"/>
        <v>0</v>
      </c>
    </row>
    <row r="218" spans="1:7" x14ac:dyDescent="0.35">
      <c r="A218" s="21">
        <v>1</v>
      </c>
      <c r="B218" s="38" t="s">
        <v>112</v>
      </c>
      <c r="C218" s="38" t="s">
        <v>66</v>
      </c>
      <c r="D218" s="39">
        <v>82</v>
      </c>
      <c r="E218" s="39">
        <v>6</v>
      </c>
      <c r="F218" s="18">
        <f t="shared" si="6"/>
        <v>0</v>
      </c>
      <c r="G218" s="18">
        <f t="shared" si="7"/>
        <v>76</v>
      </c>
    </row>
    <row r="219" spans="1:7" x14ac:dyDescent="0.35">
      <c r="A219" s="21">
        <v>2</v>
      </c>
      <c r="B219" s="38" t="s">
        <v>112</v>
      </c>
      <c r="C219" s="38" t="s">
        <v>66</v>
      </c>
      <c r="D219" s="39">
        <v>0</v>
      </c>
      <c r="E219" s="39">
        <v>9</v>
      </c>
      <c r="F219" s="18">
        <f t="shared" si="6"/>
        <v>76</v>
      </c>
      <c r="G219" s="18">
        <f t="shared" si="7"/>
        <v>67</v>
      </c>
    </row>
    <row r="220" spans="1:7" x14ac:dyDescent="0.35">
      <c r="A220" s="21">
        <v>3</v>
      </c>
      <c r="B220" s="38" t="s">
        <v>112</v>
      </c>
      <c r="C220" s="38" t="s">
        <v>66</v>
      </c>
      <c r="D220" s="39">
        <v>0</v>
      </c>
      <c r="E220" s="39">
        <v>9</v>
      </c>
      <c r="F220" s="18">
        <f t="shared" si="6"/>
        <v>67</v>
      </c>
      <c r="G220" s="18">
        <f t="shared" si="7"/>
        <v>58</v>
      </c>
    </row>
    <row r="221" spans="1:7" x14ac:dyDescent="0.35">
      <c r="A221" s="21">
        <v>4</v>
      </c>
      <c r="B221" s="38" t="s">
        <v>112</v>
      </c>
      <c r="C221" s="38" t="s">
        <v>66</v>
      </c>
      <c r="D221" s="39">
        <v>0</v>
      </c>
      <c r="E221" s="39">
        <v>6</v>
      </c>
      <c r="F221" s="18">
        <f t="shared" si="6"/>
        <v>58</v>
      </c>
      <c r="G221" s="18">
        <f t="shared" si="7"/>
        <v>52</v>
      </c>
    </row>
    <row r="222" spans="1:7" x14ac:dyDescent="0.35">
      <c r="A222" s="21">
        <v>5</v>
      </c>
      <c r="B222" s="38" t="s">
        <v>112</v>
      </c>
      <c r="C222" s="38" t="s">
        <v>66</v>
      </c>
      <c r="D222" s="39">
        <v>0</v>
      </c>
      <c r="E222" s="39">
        <v>7</v>
      </c>
      <c r="F222" s="18">
        <f t="shared" si="6"/>
        <v>52</v>
      </c>
      <c r="G222" s="18">
        <f t="shared" si="7"/>
        <v>45</v>
      </c>
    </row>
    <row r="223" spans="1:7" x14ac:dyDescent="0.35">
      <c r="A223" s="21">
        <v>6</v>
      </c>
      <c r="B223" s="38" t="s">
        <v>112</v>
      </c>
      <c r="C223" s="38" t="s">
        <v>66</v>
      </c>
      <c r="D223" s="39">
        <v>0</v>
      </c>
      <c r="E223" s="39">
        <v>8</v>
      </c>
      <c r="F223" s="18">
        <f t="shared" si="6"/>
        <v>45</v>
      </c>
      <c r="G223" s="18">
        <f t="shared" si="7"/>
        <v>37</v>
      </c>
    </row>
    <row r="224" spans="1:7" x14ac:dyDescent="0.35">
      <c r="A224" s="21">
        <v>7</v>
      </c>
      <c r="B224" s="38" t="s">
        <v>112</v>
      </c>
      <c r="C224" s="38" t="s">
        <v>66</v>
      </c>
      <c r="D224" s="39">
        <v>0</v>
      </c>
      <c r="E224" s="39">
        <v>9</v>
      </c>
      <c r="F224" s="18">
        <f t="shared" si="6"/>
        <v>37</v>
      </c>
      <c r="G224" s="18">
        <f t="shared" si="7"/>
        <v>28</v>
      </c>
    </row>
    <row r="225" spans="1:7" x14ac:dyDescent="0.35">
      <c r="A225" s="21">
        <v>8</v>
      </c>
      <c r="B225" s="38" t="s">
        <v>112</v>
      </c>
      <c r="C225" s="38" t="s">
        <v>66</v>
      </c>
      <c r="D225" s="39">
        <v>0</v>
      </c>
      <c r="E225" s="39">
        <v>8</v>
      </c>
      <c r="F225" s="18">
        <f t="shared" si="6"/>
        <v>28</v>
      </c>
      <c r="G225" s="18">
        <f t="shared" si="7"/>
        <v>20</v>
      </c>
    </row>
    <row r="226" spans="1:7" x14ac:dyDescent="0.35">
      <c r="A226" s="21">
        <v>9</v>
      </c>
      <c r="B226" s="38" t="s">
        <v>112</v>
      </c>
      <c r="C226" s="38" t="s">
        <v>66</v>
      </c>
      <c r="D226" s="39">
        <v>0</v>
      </c>
      <c r="E226" s="39">
        <v>7</v>
      </c>
      <c r="F226" s="18">
        <f t="shared" si="6"/>
        <v>20</v>
      </c>
      <c r="G226" s="18">
        <f t="shared" si="7"/>
        <v>13</v>
      </c>
    </row>
    <row r="227" spans="1:7" x14ac:dyDescent="0.35">
      <c r="A227" s="21">
        <v>10</v>
      </c>
      <c r="B227" s="38" t="s">
        <v>112</v>
      </c>
      <c r="C227" s="38" t="s">
        <v>66</v>
      </c>
      <c r="D227" s="39">
        <v>0</v>
      </c>
      <c r="E227" s="39">
        <v>7</v>
      </c>
      <c r="F227" s="18">
        <f t="shared" si="6"/>
        <v>13</v>
      </c>
      <c r="G227" s="18">
        <f t="shared" si="7"/>
        <v>6</v>
      </c>
    </row>
    <row r="228" spans="1:7" x14ac:dyDescent="0.35">
      <c r="A228" s="21">
        <v>11</v>
      </c>
      <c r="B228" s="38" t="s">
        <v>112</v>
      </c>
      <c r="C228" s="38" t="s">
        <v>66</v>
      </c>
      <c r="D228" s="39">
        <v>0</v>
      </c>
      <c r="E228" s="39">
        <v>6</v>
      </c>
      <c r="F228" s="18">
        <f t="shared" si="6"/>
        <v>6</v>
      </c>
      <c r="G228" s="18">
        <f t="shared" si="7"/>
        <v>0</v>
      </c>
    </row>
    <row r="229" spans="1:7" x14ac:dyDescent="0.35">
      <c r="A229" s="21">
        <v>12</v>
      </c>
      <c r="B229" s="38" t="s">
        <v>112</v>
      </c>
      <c r="C229" s="38" t="s">
        <v>66</v>
      </c>
      <c r="D229" s="39">
        <v>0</v>
      </c>
      <c r="E229" s="39">
        <v>0</v>
      </c>
      <c r="F229" s="18">
        <f t="shared" si="6"/>
        <v>0</v>
      </c>
      <c r="G229" s="18">
        <f t="shared" si="7"/>
        <v>0</v>
      </c>
    </row>
    <row r="230" spans="1:7" x14ac:dyDescent="0.35">
      <c r="A230" s="21">
        <v>1</v>
      </c>
      <c r="B230" s="38" t="s">
        <v>112</v>
      </c>
      <c r="C230" s="38" t="s">
        <v>68</v>
      </c>
      <c r="D230" s="39">
        <v>127</v>
      </c>
      <c r="E230" s="39">
        <v>12</v>
      </c>
      <c r="F230" s="18">
        <f t="shared" si="6"/>
        <v>0</v>
      </c>
      <c r="G230" s="18">
        <f t="shared" si="7"/>
        <v>115</v>
      </c>
    </row>
    <row r="231" spans="1:7" x14ac:dyDescent="0.35">
      <c r="A231" s="21">
        <v>2</v>
      </c>
      <c r="B231" s="38" t="s">
        <v>112</v>
      </c>
      <c r="C231" s="38" t="s">
        <v>68</v>
      </c>
      <c r="D231" s="39">
        <v>0</v>
      </c>
      <c r="E231" s="39">
        <v>10</v>
      </c>
      <c r="F231" s="18">
        <f t="shared" si="6"/>
        <v>115</v>
      </c>
      <c r="G231" s="18">
        <f t="shared" si="7"/>
        <v>105</v>
      </c>
    </row>
    <row r="232" spans="1:7" x14ac:dyDescent="0.35">
      <c r="A232" s="21">
        <v>3</v>
      </c>
      <c r="B232" s="38" t="s">
        <v>112</v>
      </c>
      <c r="C232" s="38" t="s">
        <v>68</v>
      </c>
      <c r="D232" s="39">
        <v>0</v>
      </c>
      <c r="E232" s="39">
        <v>8</v>
      </c>
      <c r="F232" s="18">
        <f t="shared" si="6"/>
        <v>105</v>
      </c>
      <c r="G232" s="18">
        <f t="shared" si="7"/>
        <v>97</v>
      </c>
    </row>
    <row r="233" spans="1:7" x14ac:dyDescent="0.35">
      <c r="A233" s="21">
        <v>4</v>
      </c>
      <c r="B233" s="38" t="s">
        <v>112</v>
      </c>
      <c r="C233" s="38" t="s">
        <v>68</v>
      </c>
      <c r="D233" s="39">
        <v>0</v>
      </c>
      <c r="E233" s="39">
        <v>8</v>
      </c>
      <c r="F233" s="18">
        <f t="shared" si="6"/>
        <v>97</v>
      </c>
      <c r="G233" s="18">
        <f t="shared" si="7"/>
        <v>89</v>
      </c>
    </row>
    <row r="234" spans="1:7" x14ac:dyDescent="0.35">
      <c r="A234" s="21">
        <v>5</v>
      </c>
      <c r="B234" s="38" t="s">
        <v>112</v>
      </c>
      <c r="C234" s="38" t="s">
        <v>68</v>
      </c>
      <c r="D234" s="39">
        <v>0</v>
      </c>
      <c r="E234" s="39">
        <v>11</v>
      </c>
      <c r="F234" s="18">
        <f t="shared" si="6"/>
        <v>89</v>
      </c>
      <c r="G234" s="18">
        <f t="shared" si="7"/>
        <v>78</v>
      </c>
    </row>
    <row r="235" spans="1:7" x14ac:dyDescent="0.35">
      <c r="A235" s="21">
        <v>6</v>
      </c>
      <c r="B235" s="38" t="s">
        <v>112</v>
      </c>
      <c r="C235" s="38" t="s">
        <v>68</v>
      </c>
      <c r="D235" s="39">
        <v>0</v>
      </c>
      <c r="E235" s="39">
        <v>12</v>
      </c>
      <c r="F235" s="18">
        <f t="shared" si="6"/>
        <v>78</v>
      </c>
      <c r="G235" s="18">
        <f t="shared" si="7"/>
        <v>66</v>
      </c>
    </row>
    <row r="236" spans="1:7" x14ac:dyDescent="0.35">
      <c r="A236" s="21">
        <v>7</v>
      </c>
      <c r="B236" s="38" t="s">
        <v>112</v>
      </c>
      <c r="C236" s="38" t="s">
        <v>68</v>
      </c>
      <c r="D236" s="39">
        <v>0</v>
      </c>
      <c r="E236" s="39">
        <v>7</v>
      </c>
      <c r="F236" s="18">
        <f t="shared" si="6"/>
        <v>66</v>
      </c>
      <c r="G236" s="18">
        <f t="shared" si="7"/>
        <v>59</v>
      </c>
    </row>
    <row r="237" spans="1:7" x14ac:dyDescent="0.35">
      <c r="A237" s="21">
        <v>8</v>
      </c>
      <c r="B237" s="38" t="s">
        <v>112</v>
      </c>
      <c r="C237" s="38" t="s">
        <v>68</v>
      </c>
      <c r="D237" s="39">
        <v>0</v>
      </c>
      <c r="E237" s="39">
        <v>7</v>
      </c>
      <c r="F237" s="18">
        <f t="shared" si="6"/>
        <v>59</v>
      </c>
      <c r="G237" s="18">
        <f t="shared" si="7"/>
        <v>52</v>
      </c>
    </row>
    <row r="238" spans="1:7" x14ac:dyDescent="0.35">
      <c r="A238" s="21">
        <v>9</v>
      </c>
      <c r="B238" s="38" t="s">
        <v>112</v>
      </c>
      <c r="C238" s="38" t="s">
        <v>68</v>
      </c>
      <c r="D238" s="39">
        <v>0</v>
      </c>
      <c r="E238" s="39">
        <v>10</v>
      </c>
      <c r="F238" s="18">
        <f t="shared" si="6"/>
        <v>52</v>
      </c>
      <c r="G238" s="18">
        <f t="shared" si="7"/>
        <v>42</v>
      </c>
    </row>
    <row r="239" spans="1:7" x14ac:dyDescent="0.35">
      <c r="A239" s="21">
        <v>10</v>
      </c>
      <c r="B239" s="38" t="s">
        <v>112</v>
      </c>
      <c r="C239" s="38" t="s">
        <v>68</v>
      </c>
      <c r="D239" s="39">
        <v>0</v>
      </c>
      <c r="E239" s="39">
        <v>8</v>
      </c>
      <c r="F239" s="18">
        <f t="shared" si="6"/>
        <v>42</v>
      </c>
      <c r="G239" s="18">
        <f t="shared" si="7"/>
        <v>34</v>
      </c>
    </row>
    <row r="240" spans="1:7" x14ac:dyDescent="0.35">
      <c r="A240" s="21">
        <v>11</v>
      </c>
      <c r="B240" s="38" t="s">
        <v>112</v>
      </c>
      <c r="C240" s="38" t="s">
        <v>68</v>
      </c>
      <c r="D240" s="39">
        <v>0</v>
      </c>
      <c r="E240" s="39">
        <v>12</v>
      </c>
      <c r="F240" s="18">
        <f t="shared" si="6"/>
        <v>34</v>
      </c>
      <c r="G240" s="18">
        <f t="shared" si="7"/>
        <v>22</v>
      </c>
    </row>
    <row r="241" spans="1:7" x14ac:dyDescent="0.35">
      <c r="A241" s="21">
        <v>12</v>
      </c>
      <c r="B241" s="38" t="s">
        <v>112</v>
      </c>
      <c r="C241" s="38" t="s">
        <v>68</v>
      </c>
      <c r="D241" s="39">
        <v>0</v>
      </c>
      <c r="E241" s="39">
        <v>9</v>
      </c>
      <c r="F241" s="18">
        <f t="shared" si="6"/>
        <v>22</v>
      </c>
      <c r="G241" s="18">
        <f t="shared" si="7"/>
        <v>13</v>
      </c>
    </row>
    <row r="242" spans="1:7" x14ac:dyDescent="0.35">
      <c r="A242" s="21">
        <v>1</v>
      </c>
      <c r="B242" s="38" t="s">
        <v>114</v>
      </c>
      <c r="C242" s="38" t="s">
        <v>62</v>
      </c>
      <c r="D242" s="39">
        <v>112</v>
      </c>
      <c r="E242" s="39">
        <v>7</v>
      </c>
      <c r="F242" s="18">
        <f t="shared" si="6"/>
        <v>0</v>
      </c>
      <c r="G242" s="18">
        <f t="shared" si="7"/>
        <v>105</v>
      </c>
    </row>
    <row r="243" spans="1:7" x14ac:dyDescent="0.35">
      <c r="A243" s="21">
        <v>2</v>
      </c>
      <c r="B243" s="38" t="s">
        <v>114</v>
      </c>
      <c r="C243" s="38" t="s">
        <v>62</v>
      </c>
      <c r="D243" s="39">
        <v>0</v>
      </c>
      <c r="E243" s="39">
        <v>7</v>
      </c>
      <c r="F243" s="18">
        <f t="shared" si="6"/>
        <v>105</v>
      </c>
      <c r="G243" s="18">
        <f t="shared" si="7"/>
        <v>98</v>
      </c>
    </row>
    <row r="244" spans="1:7" x14ac:dyDescent="0.35">
      <c r="A244" s="21">
        <v>3</v>
      </c>
      <c r="B244" s="38" t="s">
        <v>114</v>
      </c>
      <c r="C244" s="38" t="s">
        <v>62</v>
      </c>
      <c r="D244" s="39">
        <v>0</v>
      </c>
      <c r="E244" s="39">
        <v>7</v>
      </c>
      <c r="F244" s="18">
        <f t="shared" si="6"/>
        <v>98</v>
      </c>
      <c r="G244" s="18">
        <f t="shared" si="7"/>
        <v>91</v>
      </c>
    </row>
    <row r="245" spans="1:7" x14ac:dyDescent="0.35">
      <c r="A245" s="21">
        <v>4</v>
      </c>
      <c r="B245" s="38" t="s">
        <v>114</v>
      </c>
      <c r="C245" s="38" t="s">
        <v>62</v>
      </c>
      <c r="D245" s="39">
        <v>0</v>
      </c>
      <c r="E245" s="39">
        <v>6</v>
      </c>
      <c r="F245" s="18">
        <f t="shared" si="6"/>
        <v>91</v>
      </c>
      <c r="G245" s="18">
        <f t="shared" si="7"/>
        <v>85</v>
      </c>
    </row>
    <row r="246" spans="1:7" x14ac:dyDescent="0.35">
      <c r="A246" s="21">
        <v>5</v>
      </c>
      <c r="B246" s="38" t="s">
        <v>114</v>
      </c>
      <c r="C246" s="38" t="s">
        <v>62</v>
      </c>
      <c r="D246" s="39">
        <v>0</v>
      </c>
      <c r="E246" s="39">
        <v>6</v>
      </c>
      <c r="F246" s="18">
        <f t="shared" si="6"/>
        <v>85</v>
      </c>
      <c r="G246" s="18">
        <f t="shared" si="7"/>
        <v>79</v>
      </c>
    </row>
    <row r="247" spans="1:7" x14ac:dyDescent="0.35">
      <c r="A247" s="21">
        <v>6</v>
      </c>
      <c r="B247" s="38" t="s">
        <v>114</v>
      </c>
      <c r="C247" s="38" t="s">
        <v>62</v>
      </c>
      <c r="D247" s="39">
        <v>0</v>
      </c>
      <c r="E247" s="39">
        <v>6</v>
      </c>
      <c r="F247" s="18">
        <f t="shared" si="6"/>
        <v>79</v>
      </c>
      <c r="G247" s="18">
        <f t="shared" si="7"/>
        <v>73</v>
      </c>
    </row>
    <row r="248" spans="1:7" x14ac:dyDescent="0.35">
      <c r="A248" s="21">
        <v>7</v>
      </c>
      <c r="B248" s="38" t="s">
        <v>114</v>
      </c>
      <c r="C248" s="38" t="s">
        <v>62</v>
      </c>
      <c r="D248" s="39">
        <v>0</v>
      </c>
      <c r="E248" s="39">
        <v>7</v>
      </c>
      <c r="F248" s="18">
        <f t="shared" si="6"/>
        <v>73</v>
      </c>
      <c r="G248" s="18">
        <f t="shared" si="7"/>
        <v>66</v>
      </c>
    </row>
    <row r="249" spans="1:7" x14ac:dyDescent="0.35">
      <c r="A249" s="21">
        <v>8</v>
      </c>
      <c r="B249" s="38" t="s">
        <v>114</v>
      </c>
      <c r="C249" s="38" t="s">
        <v>62</v>
      </c>
      <c r="D249" s="39">
        <v>0</v>
      </c>
      <c r="E249" s="39">
        <v>6</v>
      </c>
      <c r="F249" s="18">
        <f t="shared" si="6"/>
        <v>66</v>
      </c>
      <c r="G249" s="18">
        <f t="shared" si="7"/>
        <v>60</v>
      </c>
    </row>
    <row r="250" spans="1:7" x14ac:dyDescent="0.35">
      <c r="A250" s="21">
        <v>9</v>
      </c>
      <c r="B250" s="38" t="s">
        <v>114</v>
      </c>
      <c r="C250" s="38" t="s">
        <v>62</v>
      </c>
      <c r="D250" s="39">
        <v>0</v>
      </c>
      <c r="E250" s="39">
        <v>9</v>
      </c>
      <c r="F250" s="18">
        <f t="shared" si="6"/>
        <v>60</v>
      </c>
      <c r="G250" s="18">
        <f t="shared" si="7"/>
        <v>51</v>
      </c>
    </row>
    <row r="251" spans="1:7" x14ac:dyDescent="0.35">
      <c r="A251" s="21">
        <v>10</v>
      </c>
      <c r="B251" s="38" t="s">
        <v>114</v>
      </c>
      <c r="C251" s="38" t="s">
        <v>62</v>
      </c>
      <c r="D251" s="39">
        <v>0</v>
      </c>
      <c r="E251" s="39">
        <v>9</v>
      </c>
      <c r="F251" s="18">
        <f t="shared" si="6"/>
        <v>51</v>
      </c>
      <c r="G251" s="18">
        <f t="shared" si="7"/>
        <v>42</v>
      </c>
    </row>
    <row r="252" spans="1:7" x14ac:dyDescent="0.35">
      <c r="A252" s="21">
        <v>11</v>
      </c>
      <c r="B252" s="38" t="s">
        <v>114</v>
      </c>
      <c r="C252" s="38" t="s">
        <v>62</v>
      </c>
      <c r="D252" s="39">
        <v>0</v>
      </c>
      <c r="E252" s="39">
        <v>8</v>
      </c>
      <c r="F252" s="18">
        <f t="shared" si="6"/>
        <v>42</v>
      </c>
      <c r="G252" s="18">
        <f t="shared" si="7"/>
        <v>34</v>
      </c>
    </row>
    <row r="253" spans="1:7" x14ac:dyDescent="0.35">
      <c r="A253" s="21">
        <v>12</v>
      </c>
      <c r="B253" s="38" t="s">
        <v>114</v>
      </c>
      <c r="C253" s="38" t="s">
        <v>62</v>
      </c>
      <c r="D253" s="39">
        <v>0</v>
      </c>
      <c r="E253" s="39">
        <v>7</v>
      </c>
      <c r="F253" s="18">
        <f t="shared" si="6"/>
        <v>34</v>
      </c>
      <c r="G253" s="18">
        <f t="shared" si="7"/>
        <v>27</v>
      </c>
    </row>
    <row r="254" spans="1:7" x14ac:dyDescent="0.35">
      <c r="A254" s="21">
        <v>1</v>
      </c>
      <c r="B254" s="38" t="s">
        <v>114</v>
      </c>
      <c r="C254" s="38" t="s">
        <v>64</v>
      </c>
      <c r="D254" s="39">
        <v>140</v>
      </c>
      <c r="E254" s="39">
        <v>14</v>
      </c>
      <c r="F254" s="18">
        <f t="shared" si="6"/>
        <v>0</v>
      </c>
      <c r="G254" s="18">
        <f t="shared" si="7"/>
        <v>126</v>
      </c>
    </row>
    <row r="255" spans="1:7" x14ac:dyDescent="0.35">
      <c r="A255" s="21">
        <v>2</v>
      </c>
      <c r="B255" s="38" t="s">
        <v>114</v>
      </c>
      <c r="C255" s="38" t="s">
        <v>64</v>
      </c>
      <c r="D255" s="39">
        <v>0</v>
      </c>
      <c r="E255" s="39">
        <v>13</v>
      </c>
      <c r="F255" s="18">
        <f t="shared" si="6"/>
        <v>126</v>
      </c>
      <c r="G255" s="18">
        <f t="shared" si="7"/>
        <v>113</v>
      </c>
    </row>
    <row r="256" spans="1:7" x14ac:dyDescent="0.35">
      <c r="A256" s="21">
        <v>3</v>
      </c>
      <c r="B256" s="38" t="s">
        <v>114</v>
      </c>
      <c r="C256" s="38" t="s">
        <v>64</v>
      </c>
      <c r="D256" s="39">
        <v>0</v>
      </c>
      <c r="E256" s="39">
        <v>8</v>
      </c>
      <c r="F256" s="18">
        <f t="shared" si="6"/>
        <v>113</v>
      </c>
      <c r="G256" s="18">
        <f t="shared" si="7"/>
        <v>105</v>
      </c>
    </row>
    <row r="257" spans="1:7" x14ac:dyDescent="0.35">
      <c r="A257" s="21">
        <v>4</v>
      </c>
      <c r="B257" s="38" t="s">
        <v>114</v>
      </c>
      <c r="C257" s="38" t="s">
        <v>64</v>
      </c>
      <c r="D257" s="39">
        <v>0</v>
      </c>
      <c r="E257" s="39">
        <v>9</v>
      </c>
      <c r="F257" s="18">
        <f t="shared" si="6"/>
        <v>105</v>
      </c>
      <c r="G257" s="18">
        <f t="shared" si="7"/>
        <v>96</v>
      </c>
    </row>
    <row r="258" spans="1:7" x14ac:dyDescent="0.35">
      <c r="A258" s="21">
        <v>5</v>
      </c>
      <c r="B258" s="38" t="s">
        <v>114</v>
      </c>
      <c r="C258" s="38" t="s">
        <v>64</v>
      </c>
      <c r="D258" s="39">
        <v>0</v>
      </c>
      <c r="E258" s="39">
        <v>9</v>
      </c>
      <c r="F258" s="18">
        <f t="shared" ref="F258:F321" si="8">IF(A258=1,0,G257)</f>
        <v>96</v>
      </c>
      <c r="G258" s="18">
        <f t="shared" ref="G258:G321" si="9">F258+D258-E258</f>
        <v>87</v>
      </c>
    </row>
    <row r="259" spans="1:7" x14ac:dyDescent="0.35">
      <c r="A259" s="21">
        <v>6</v>
      </c>
      <c r="B259" s="38" t="s">
        <v>114</v>
      </c>
      <c r="C259" s="38" t="s">
        <v>64</v>
      </c>
      <c r="D259" s="39">
        <v>0</v>
      </c>
      <c r="E259" s="39">
        <v>9</v>
      </c>
      <c r="F259" s="18">
        <f t="shared" si="8"/>
        <v>87</v>
      </c>
      <c r="G259" s="18">
        <f t="shared" si="9"/>
        <v>78</v>
      </c>
    </row>
    <row r="260" spans="1:7" x14ac:dyDescent="0.35">
      <c r="A260" s="21">
        <v>7</v>
      </c>
      <c r="B260" s="38" t="s">
        <v>114</v>
      </c>
      <c r="C260" s="38" t="s">
        <v>64</v>
      </c>
      <c r="D260" s="39">
        <v>0</v>
      </c>
      <c r="E260" s="39">
        <v>12</v>
      </c>
      <c r="F260" s="18">
        <f t="shared" si="8"/>
        <v>78</v>
      </c>
      <c r="G260" s="18">
        <f t="shared" si="9"/>
        <v>66</v>
      </c>
    </row>
    <row r="261" spans="1:7" x14ac:dyDescent="0.35">
      <c r="A261" s="21">
        <v>8</v>
      </c>
      <c r="B261" s="38" t="s">
        <v>114</v>
      </c>
      <c r="C261" s="38" t="s">
        <v>64</v>
      </c>
      <c r="D261" s="39">
        <v>0</v>
      </c>
      <c r="E261" s="39">
        <v>11</v>
      </c>
      <c r="F261" s="18">
        <f t="shared" si="8"/>
        <v>66</v>
      </c>
      <c r="G261" s="18">
        <f t="shared" si="9"/>
        <v>55</v>
      </c>
    </row>
    <row r="262" spans="1:7" x14ac:dyDescent="0.35">
      <c r="A262" s="21">
        <v>9</v>
      </c>
      <c r="B262" s="38" t="s">
        <v>114</v>
      </c>
      <c r="C262" s="38" t="s">
        <v>64</v>
      </c>
      <c r="D262" s="39">
        <v>0</v>
      </c>
      <c r="E262" s="39">
        <v>8</v>
      </c>
      <c r="F262" s="18">
        <f t="shared" si="8"/>
        <v>55</v>
      </c>
      <c r="G262" s="18">
        <f t="shared" si="9"/>
        <v>47</v>
      </c>
    </row>
    <row r="263" spans="1:7" x14ac:dyDescent="0.35">
      <c r="A263" s="21">
        <v>10</v>
      </c>
      <c r="B263" s="38" t="s">
        <v>114</v>
      </c>
      <c r="C263" s="38" t="s">
        <v>64</v>
      </c>
      <c r="D263" s="39">
        <v>0</v>
      </c>
      <c r="E263" s="39">
        <v>10</v>
      </c>
      <c r="F263" s="18">
        <f t="shared" si="8"/>
        <v>47</v>
      </c>
      <c r="G263" s="18">
        <f t="shared" si="9"/>
        <v>37</v>
      </c>
    </row>
    <row r="264" spans="1:7" x14ac:dyDescent="0.35">
      <c r="A264" s="21">
        <v>11</v>
      </c>
      <c r="B264" s="38" t="s">
        <v>114</v>
      </c>
      <c r="C264" s="38" t="s">
        <v>64</v>
      </c>
      <c r="D264" s="39">
        <v>0</v>
      </c>
      <c r="E264" s="39">
        <v>11</v>
      </c>
      <c r="F264" s="18">
        <f t="shared" si="8"/>
        <v>37</v>
      </c>
      <c r="G264" s="18">
        <f t="shared" si="9"/>
        <v>26</v>
      </c>
    </row>
    <row r="265" spans="1:7" x14ac:dyDescent="0.35">
      <c r="A265" s="21">
        <v>12</v>
      </c>
      <c r="B265" s="38" t="s">
        <v>114</v>
      </c>
      <c r="C265" s="38" t="s">
        <v>64</v>
      </c>
      <c r="D265" s="39">
        <v>0</v>
      </c>
      <c r="E265" s="39">
        <v>8</v>
      </c>
      <c r="F265" s="18">
        <f t="shared" si="8"/>
        <v>26</v>
      </c>
      <c r="G265" s="18">
        <f t="shared" si="9"/>
        <v>18</v>
      </c>
    </row>
    <row r="266" spans="1:7" x14ac:dyDescent="0.35">
      <c r="A266" s="21">
        <v>1</v>
      </c>
      <c r="B266" s="38" t="s">
        <v>114</v>
      </c>
      <c r="C266" s="38" t="s">
        <v>66</v>
      </c>
      <c r="D266" s="39">
        <v>94</v>
      </c>
      <c r="E266" s="39">
        <v>5</v>
      </c>
      <c r="F266" s="18">
        <f t="shared" si="8"/>
        <v>0</v>
      </c>
      <c r="G266" s="18">
        <f t="shared" si="9"/>
        <v>89</v>
      </c>
    </row>
    <row r="267" spans="1:7" x14ac:dyDescent="0.35">
      <c r="A267" s="21">
        <v>2</v>
      </c>
      <c r="B267" s="38" t="s">
        <v>114</v>
      </c>
      <c r="C267" s="38" t="s">
        <v>66</v>
      </c>
      <c r="D267" s="39">
        <v>0</v>
      </c>
      <c r="E267" s="39">
        <v>9</v>
      </c>
      <c r="F267" s="18">
        <f t="shared" si="8"/>
        <v>89</v>
      </c>
      <c r="G267" s="18">
        <f t="shared" si="9"/>
        <v>80</v>
      </c>
    </row>
    <row r="268" spans="1:7" x14ac:dyDescent="0.35">
      <c r="A268" s="21">
        <v>3</v>
      </c>
      <c r="B268" s="38" t="s">
        <v>114</v>
      </c>
      <c r="C268" s="38" t="s">
        <v>66</v>
      </c>
      <c r="D268" s="39">
        <v>0</v>
      </c>
      <c r="E268" s="39">
        <v>5</v>
      </c>
      <c r="F268" s="18">
        <f t="shared" si="8"/>
        <v>80</v>
      </c>
      <c r="G268" s="18">
        <f t="shared" si="9"/>
        <v>75</v>
      </c>
    </row>
    <row r="269" spans="1:7" x14ac:dyDescent="0.35">
      <c r="A269" s="21">
        <v>4</v>
      </c>
      <c r="B269" s="38" t="s">
        <v>114</v>
      </c>
      <c r="C269" s="38" t="s">
        <v>66</v>
      </c>
      <c r="D269" s="39">
        <v>0</v>
      </c>
      <c r="E269" s="39">
        <v>8</v>
      </c>
      <c r="F269" s="18">
        <f t="shared" si="8"/>
        <v>75</v>
      </c>
      <c r="G269" s="18">
        <f t="shared" si="9"/>
        <v>67</v>
      </c>
    </row>
    <row r="270" spans="1:7" x14ac:dyDescent="0.35">
      <c r="A270" s="21">
        <v>5</v>
      </c>
      <c r="B270" s="38" t="s">
        <v>114</v>
      </c>
      <c r="C270" s="38" t="s">
        <v>66</v>
      </c>
      <c r="D270" s="39">
        <v>0</v>
      </c>
      <c r="E270" s="39">
        <v>9</v>
      </c>
      <c r="F270" s="18">
        <f t="shared" si="8"/>
        <v>67</v>
      </c>
      <c r="G270" s="18">
        <f t="shared" si="9"/>
        <v>58</v>
      </c>
    </row>
    <row r="271" spans="1:7" x14ac:dyDescent="0.35">
      <c r="A271" s="21">
        <v>6</v>
      </c>
      <c r="B271" s="38" t="s">
        <v>114</v>
      </c>
      <c r="C271" s="38" t="s">
        <v>66</v>
      </c>
      <c r="D271" s="39">
        <v>0</v>
      </c>
      <c r="E271" s="39">
        <v>9</v>
      </c>
      <c r="F271" s="18">
        <f t="shared" si="8"/>
        <v>58</v>
      </c>
      <c r="G271" s="18">
        <f t="shared" si="9"/>
        <v>49</v>
      </c>
    </row>
    <row r="272" spans="1:7" x14ac:dyDescent="0.35">
      <c r="A272" s="21">
        <v>7</v>
      </c>
      <c r="B272" s="38" t="s">
        <v>114</v>
      </c>
      <c r="C272" s="38" t="s">
        <v>66</v>
      </c>
      <c r="D272" s="39">
        <v>0</v>
      </c>
      <c r="E272" s="39">
        <v>8</v>
      </c>
      <c r="F272" s="18">
        <f t="shared" si="8"/>
        <v>49</v>
      </c>
      <c r="G272" s="18">
        <f t="shared" si="9"/>
        <v>41</v>
      </c>
    </row>
    <row r="273" spans="1:7" x14ac:dyDescent="0.35">
      <c r="A273" s="21">
        <v>8</v>
      </c>
      <c r="B273" s="38" t="s">
        <v>114</v>
      </c>
      <c r="C273" s="38" t="s">
        <v>66</v>
      </c>
      <c r="D273" s="39">
        <v>0</v>
      </c>
      <c r="E273" s="39">
        <v>8</v>
      </c>
      <c r="F273" s="18">
        <f t="shared" si="8"/>
        <v>41</v>
      </c>
      <c r="G273" s="18">
        <f t="shared" si="9"/>
        <v>33</v>
      </c>
    </row>
    <row r="274" spans="1:7" x14ac:dyDescent="0.35">
      <c r="A274" s="21">
        <v>9</v>
      </c>
      <c r="B274" s="38" t="s">
        <v>114</v>
      </c>
      <c r="C274" s="38" t="s">
        <v>66</v>
      </c>
      <c r="D274" s="39">
        <v>0</v>
      </c>
      <c r="E274" s="39">
        <v>8</v>
      </c>
      <c r="F274" s="18">
        <f t="shared" si="8"/>
        <v>33</v>
      </c>
      <c r="G274" s="18">
        <f t="shared" si="9"/>
        <v>25</v>
      </c>
    </row>
    <row r="275" spans="1:7" x14ac:dyDescent="0.35">
      <c r="A275" s="21">
        <v>10</v>
      </c>
      <c r="B275" s="38" t="s">
        <v>114</v>
      </c>
      <c r="C275" s="38" t="s">
        <v>66</v>
      </c>
      <c r="D275" s="39">
        <v>0</v>
      </c>
      <c r="E275" s="39">
        <v>8</v>
      </c>
      <c r="F275" s="18">
        <f t="shared" si="8"/>
        <v>25</v>
      </c>
      <c r="G275" s="18">
        <f t="shared" si="9"/>
        <v>17</v>
      </c>
    </row>
    <row r="276" spans="1:7" x14ac:dyDescent="0.35">
      <c r="A276" s="21">
        <v>11</v>
      </c>
      <c r="B276" s="38" t="s">
        <v>114</v>
      </c>
      <c r="C276" s="38" t="s">
        <v>66</v>
      </c>
      <c r="D276" s="39">
        <v>0</v>
      </c>
      <c r="E276" s="39">
        <v>5</v>
      </c>
      <c r="F276" s="18">
        <f t="shared" si="8"/>
        <v>17</v>
      </c>
      <c r="G276" s="18">
        <f t="shared" si="9"/>
        <v>12</v>
      </c>
    </row>
    <row r="277" spans="1:7" x14ac:dyDescent="0.35">
      <c r="A277" s="21">
        <v>12</v>
      </c>
      <c r="B277" s="38" t="s">
        <v>114</v>
      </c>
      <c r="C277" s="38" t="s">
        <v>66</v>
      </c>
      <c r="D277" s="39">
        <v>0</v>
      </c>
      <c r="E277" s="39">
        <v>7</v>
      </c>
      <c r="F277" s="18">
        <f t="shared" si="8"/>
        <v>12</v>
      </c>
      <c r="G277" s="18">
        <f t="shared" si="9"/>
        <v>5</v>
      </c>
    </row>
    <row r="278" spans="1:7" x14ac:dyDescent="0.35">
      <c r="A278" s="21">
        <v>1</v>
      </c>
      <c r="B278" s="38" t="s">
        <v>114</v>
      </c>
      <c r="C278" s="38" t="s">
        <v>68</v>
      </c>
      <c r="D278" s="39">
        <v>119</v>
      </c>
      <c r="E278" s="39">
        <v>11</v>
      </c>
      <c r="F278" s="18">
        <f t="shared" si="8"/>
        <v>0</v>
      </c>
      <c r="G278" s="18">
        <f t="shared" si="9"/>
        <v>108</v>
      </c>
    </row>
    <row r="279" spans="1:7" x14ac:dyDescent="0.35">
      <c r="A279" s="21">
        <v>2</v>
      </c>
      <c r="B279" s="38" t="s">
        <v>114</v>
      </c>
      <c r="C279" s="38" t="s">
        <v>68</v>
      </c>
      <c r="D279" s="39">
        <v>0</v>
      </c>
      <c r="E279" s="39">
        <v>9</v>
      </c>
      <c r="F279" s="18">
        <f t="shared" si="8"/>
        <v>108</v>
      </c>
      <c r="G279" s="18">
        <f t="shared" si="9"/>
        <v>99</v>
      </c>
    </row>
    <row r="280" spans="1:7" x14ac:dyDescent="0.35">
      <c r="A280" s="21">
        <v>3</v>
      </c>
      <c r="B280" s="38" t="s">
        <v>114</v>
      </c>
      <c r="C280" s="38" t="s">
        <v>68</v>
      </c>
      <c r="D280" s="39">
        <v>0</v>
      </c>
      <c r="E280" s="39">
        <v>9</v>
      </c>
      <c r="F280" s="18">
        <f t="shared" si="8"/>
        <v>99</v>
      </c>
      <c r="G280" s="18">
        <f t="shared" si="9"/>
        <v>90</v>
      </c>
    </row>
    <row r="281" spans="1:7" x14ac:dyDescent="0.35">
      <c r="A281" s="21">
        <v>4</v>
      </c>
      <c r="B281" s="38" t="s">
        <v>114</v>
      </c>
      <c r="C281" s="38" t="s">
        <v>68</v>
      </c>
      <c r="D281" s="39">
        <v>0</v>
      </c>
      <c r="E281" s="39">
        <v>10</v>
      </c>
      <c r="F281" s="18">
        <f t="shared" si="8"/>
        <v>90</v>
      </c>
      <c r="G281" s="18">
        <f t="shared" si="9"/>
        <v>80</v>
      </c>
    </row>
    <row r="282" spans="1:7" x14ac:dyDescent="0.35">
      <c r="A282" s="21">
        <v>5</v>
      </c>
      <c r="B282" s="38" t="s">
        <v>114</v>
      </c>
      <c r="C282" s="38" t="s">
        <v>68</v>
      </c>
      <c r="D282" s="39">
        <v>0</v>
      </c>
      <c r="E282" s="39">
        <v>8</v>
      </c>
      <c r="F282" s="18">
        <f t="shared" si="8"/>
        <v>80</v>
      </c>
      <c r="G282" s="18">
        <f t="shared" si="9"/>
        <v>72</v>
      </c>
    </row>
    <row r="283" spans="1:7" x14ac:dyDescent="0.35">
      <c r="A283" s="21">
        <v>6</v>
      </c>
      <c r="B283" s="38" t="s">
        <v>114</v>
      </c>
      <c r="C283" s="38" t="s">
        <v>68</v>
      </c>
      <c r="D283" s="39">
        <v>0</v>
      </c>
      <c r="E283" s="39">
        <v>7</v>
      </c>
      <c r="F283" s="18">
        <f t="shared" si="8"/>
        <v>72</v>
      </c>
      <c r="G283" s="18">
        <f t="shared" si="9"/>
        <v>65</v>
      </c>
    </row>
    <row r="284" spans="1:7" x14ac:dyDescent="0.35">
      <c r="A284" s="21">
        <v>7</v>
      </c>
      <c r="B284" s="38" t="s">
        <v>114</v>
      </c>
      <c r="C284" s="38" t="s">
        <v>68</v>
      </c>
      <c r="D284" s="39">
        <v>0</v>
      </c>
      <c r="E284" s="39">
        <v>9</v>
      </c>
      <c r="F284" s="18">
        <f t="shared" si="8"/>
        <v>65</v>
      </c>
      <c r="G284" s="18">
        <f t="shared" si="9"/>
        <v>56</v>
      </c>
    </row>
    <row r="285" spans="1:7" x14ac:dyDescent="0.35">
      <c r="A285" s="21">
        <v>8</v>
      </c>
      <c r="B285" s="38" t="s">
        <v>114</v>
      </c>
      <c r="C285" s="38" t="s">
        <v>68</v>
      </c>
      <c r="D285" s="39">
        <v>0</v>
      </c>
      <c r="E285" s="39">
        <v>9</v>
      </c>
      <c r="F285" s="18">
        <f t="shared" si="8"/>
        <v>56</v>
      </c>
      <c r="G285" s="18">
        <f t="shared" si="9"/>
        <v>47</v>
      </c>
    </row>
    <row r="286" spans="1:7" x14ac:dyDescent="0.35">
      <c r="A286" s="21">
        <v>9</v>
      </c>
      <c r="B286" s="38" t="s">
        <v>114</v>
      </c>
      <c r="C286" s="38" t="s">
        <v>68</v>
      </c>
      <c r="D286" s="39">
        <v>0</v>
      </c>
      <c r="E286" s="39">
        <v>8</v>
      </c>
      <c r="F286" s="18">
        <f t="shared" si="8"/>
        <v>47</v>
      </c>
      <c r="G286" s="18">
        <f t="shared" si="9"/>
        <v>39</v>
      </c>
    </row>
    <row r="287" spans="1:7" x14ac:dyDescent="0.35">
      <c r="A287" s="21">
        <v>10</v>
      </c>
      <c r="B287" s="38" t="s">
        <v>114</v>
      </c>
      <c r="C287" s="38" t="s">
        <v>68</v>
      </c>
      <c r="D287" s="39">
        <v>0</v>
      </c>
      <c r="E287" s="39">
        <v>9</v>
      </c>
      <c r="F287" s="18">
        <f t="shared" si="8"/>
        <v>39</v>
      </c>
      <c r="G287" s="18">
        <f t="shared" si="9"/>
        <v>30</v>
      </c>
    </row>
    <row r="288" spans="1:7" x14ac:dyDescent="0.35">
      <c r="A288" s="21">
        <v>11</v>
      </c>
      <c r="B288" s="38" t="s">
        <v>114</v>
      </c>
      <c r="C288" s="38" t="s">
        <v>68</v>
      </c>
      <c r="D288" s="39">
        <v>0</v>
      </c>
      <c r="E288" s="39">
        <v>9</v>
      </c>
      <c r="F288" s="18">
        <f t="shared" si="8"/>
        <v>30</v>
      </c>
      <c r="G288" s="18">
        <f t="shared" si="9"/>
        <v>21</v>
      </c>
    </row>
    <row r="289" spans="1:7" x14ac:dyDescent="0.35">
      <c r="A289" s="21">
        <v>12</v>
      </c>
      <c r="B289" s="38" t="s">
        <v>114</v>
      </c>
      <c r="C289" s="38" t="s">
        <v>68</v>
      </c>
      <c r="D289" s="39">
        <v>0</v>
      </c>
      <c r="E289" s="39">
        <v>8</v>
      </c>
      <c r="F289" s="18">
        <f t="shared" si="8"/>
        <v>21</v>
      </c>
      <c r="G289" s="18">
        <f t="shared" si="9"/>
        <v>13</v>
      </c>
    </row>
    <row r="290" spans="1:7" x14ac:dyDescent="0.35">
      <c r="A290" s="21">
        <v>1</v>
      </c>
      <c r="B290" s="38" t="s">
        <v>116</v>
      </c>
      <c r="C290" s="38" t="s">
        <v>62</v>
      </c>
      <c r="D290" s="39">
        <v>111</v>
      </c>
      <c r="E290" s="39">
        <v>7</v>
      </c>
      <c r="F290" s="18">
        <f t="shared" si="8"/>
        <v>0</v>
      </c>
      <c r="G290" s="18">
        <f t="shared" si="9"/>
        <v>104</v>
      </c>
    </row>
    <row r="291" spans="1:7" x14ac:dyDescent="0.35">
      <c r="A291" s="21">
        <v>2</v>
      </c>
      <c r="B291" s="38" t="s">
        <v>116</v>
      </c>
      <c r="C291" s="38" t="s">
        <v>62</v>
      </c>
      <c r="D291" s="39">
        <v>0</v>
      </c>
      <c r="E291" s="39">
        <v>11</v>
      </c>
      <c r="F291" s="18">
        <f t="shared" si="8"/>
        <v>104</v>
      </c>
      <c r="G291" s="18">
        <f t="shared" si="9"/>
        <v>93</v>
      </c>
    </row>
    <row r="292" spans="1:7" x14ac:dyDescent="0.35">
      <c r="A292" s="21">
        <v>3</v>
      </c>
      <c r="B292" s="38" t="s">
        <v>116</v>
      </c>
      <c r="C292" s="38" t="s">
        <v>62</v>
      </c>
      <c r="D292" s="39">
        <v>0</v>
      </c>
      <c r="E292" s="39">
        <v>11</v>
      </c>
      <c r="F292" s="18">
        <f t="shared" si="8"/>
        <v>93</v>
      </c>
      <c r="G292" s="18">
        <f t="shared" si="9"/>
        <v>82</v>
      </c>
    </row>
    <row r="293" spans="1:7" x14ac:dyDescent="0.35">
      <c r="A293" s="21">
        <v>4</v>
      </c>
      <c r="B293" s="38" t="s">
        <v>116</v>
      </c>
      <c r="C293" s="38" t="s">
        <v>62</v>
      </c>
      <c r="D293" s="39">
        <v>0</v>
      </c>
      <c r="E293" s="39">
        <v>8</v>
      </c>
      <c r="F293" s="18">
        <f t="shared" si="8"/>
        <v>82</v>
      </c>
      <c r="G293" s="18">
        <f t="shared" si="9"/>
        <v>74</v>
      </c>
    </row>
    <row r="294" spans="1:7" x14ac:dyDescent="0.35">
      <c r="A294" s="21">
        <v>5</v>
      </c>
      <c r="B294" s="38" t="s">
        <v>116</v>
      </c>
      <c r="C294" s="38" t="s">
        <v>62</v>
      </c>
      <c r="D294" s="39">
        <v>0</v>
      </c>
      <c r="E294" s="39">
        <v>8</v>
      </c>
      <c r="F294" s="18">
        <f t="shared" si="8"/>
        <v>74</v>
      </c>
      <c r="G294" s="18">
        <f t="shared" si="9"/>
        <v>66</v>
      </c>
    </row>
    <row r="295" spans="1:7" x14ac:dyDescent="0.35">
      <c r="A295" s="21">
        <v>6</v>
      </c>
      <c r="B295" s="38" t="s">
        <v>116</v>
      </c>
      <c r="C295" s="38" t="s">
        <v>62</v>
      </c>
      <c r="D295" s="39">
        <v>0</v>
      </c>
      <c r="E295" s="39">
        <v>9</v>
      </c>
      <c r="F295" s="18">
        <f t="shared" si="8"/>
        <v>66</v>
      </c>
      <c r="G295" s="18">
        <f t="shared" si="9"/>
        <v>57</v>
      </c>
    </row>
    <row r="296" spans="1:7" x14ac:dyDescent="0.35">
      <c r="A296" s="21">
        <v>7</v>
      </c>
      <c r="B296" s="38" t="s">
        <v>116</v>
      </c>
      <c r="C296" s="38" t="s">
        <v>62</v>
      </c>
      <c r="D296" s="39">
        <v>0</v>
      </c>
      <c r="E296" s="39">
        <v>10</v>
      </c>
      <c r="F296" s="18">
        <f t="shared" si="8"/>
        <v>57</v>
      </c>
      <c r="G296" s="18">
        <f t="shared" si="9"/>
        <v>47</v>
      </c>
    </row>
    <row r="297" spans="1:7" x14ac:dyDescent="0.35">
      <c r="A297" s="21">
        <v>8</v>
      </c>
      <c r="B297" s="38" t="s">
        <v>116</v>
      </c>
      <c r="C297" s="38" t="s">
        <v>62</v>
      </c>
      <c r="D297" s="39">
        <v>0</v>
      </c>
      <c r="E297" s="39">
        <v>9</v>
      </c>
      <c r="F297" s="18">
        <f t="shared" si="8"/>
        <v>47</v>
      </c>
      <c r="G297" s="18">
        <f t="shared" si="9"/>
        <v>38</v>
      </c>
    </row>
    <row r="298" spans="1:7" x14ac:dyDescent="0.35">
      <c r="A298" s="21">
        <v>9</v>
      </c>
      <c r="B298" s="38" t="s">
        <v>116</v>
      </c>
      <c r="C298" s="38" t="s">
        <v>62</v>
      </c>
      <c r="D298" s="39">
        <v>0</v>
      </c>
      <c r="E298" s="39">
        <v>10</v>
      </c>
      <c r="F298" s="18">
        <f t="shared" si="8"/>
        <v>38</v>
      </c>
      <c r="G298" s="18">
        <f t="shared" si="9"/>
        <v>28</v>
      </c>
    </row>
    <row r="299" spans="1:7" x14ac:dyDescent="0.35">
      <c r="A299" s="21">
        <v>10</v>
      </c>
      <c r="B299" s="38" t="s">
        <v>116</v>
      </c>
      <c r="C299" s="38" t="s">
        <v>62</v>
      </c>
      <c r="D299" s="39">
        <v>0</v>
      </c>
      <c r="E299" s="39">
        <v>9</v>
      </c>
      <c r="F299" s="18">
        <f t="shared" si="8"/>
        <v>28</v>
      </c>
      <c r="G299" s="18">
        <f t="shared" si="9"/>
        <v>19</v>
      </c>
    </row>
    <row r="300" spans="1:7" x14ac:dyDescent="0.35">
      <c r="A300" s="21">
        <v>11</v>
      </c>
      <c r="B300" s="38" t="s">
        <v>116</v>
      </c>
      <c r="C300" s="38" t="s">
        <v>62</v>
      </c>
      <c r="D300" s="39">
        <v>0</v>
      </c>
      <c r="E300" s="39">
        <v>9</v>
      </c>
      <c r="F300" s="18">
        <f t="shared" si="8"/>
        <v>19</v>
      </c>
      <c r="G300" s="18">
        <f t="shared" si="9"/>
        <v>10</v>
      </c>
    </row>
    <row r="301" spans="1:7" x14ac:dyDescent="0.35">
      <c r="A301" s="21">
        <v>12</v>
      </c>
      <c r="B301" s="38" t="s">
        <v>116</v>
      </c>
      <c r="C301" s="38" t="s">
        <v>62</v>
      </c>
      <c r="D301" s="39">
        <v>0</v>
      </c>
      <c r="E301" s="39">
        <v>7</v>
      </c>
      <c r="F301" s="18">
        <f t="shared" si="8"/>
        <v>10</v>
      </c>
      <c r="G301" s="18">
        <f t="shared" si="9"/>
        <v>3</v>
      </c>
    </row>
    <row r="302" spans="1:7" x14ac:dyDescent="0.35">
      <c r="A302" s="21">
        <v>1</v>
      </c>
      <c r="B302" s="38" t="s">
        <v>116</v>
      </c>
      <c r="C302" s="38" t="s">
        <v>64</v>
      </c>
      <c r="D302" s="39">
        <v>151</v>
      </c>
      <c r="E302" s="39">
        <v>9</v>
      </c>
      <c r="F302" s="18">
        <f t="shared" si="8"/>
        <v>0</v>
      </c>
      <c r="G302" s="18">
        <f t="shared" si="9"/>
        <v>142</v>
      </c>
    </row>
    <row r="303" spans="1:7" x14ac:dyDescent="0.35">
      <c r="A303" s="21">
        <v>2</v>
      </c>
      <c r="B303" s="38" t="s">
        <v>116</v>
      </c>
      <c r="C303" s="38" t="s">
        <v>64</v>
      </c>
      <c r="D303" s="39">
        <v>0</v>
      </c>
      <c r="E303" s="39">
        <v>13</v>
      </c>
      <c r="F303" s="18">
        <f t="shared" si="8"/>
        <v>142</v>
      </c>
      <c r="G303" s="18">
        <f t="shared" si="9"/>
        <v>129</v>
      </c>
    </row>
    <row r="304" spans="1:7" x14ac:dyDescent="0.35">
      <c r="A304" s="21">
        <v>3</v>
      </c>
      <c r="B304" s="38" t="s">
        <v>116</v>
      </c>
      <c r="C304" s="38" t="s">
        <v>64</v>
      </c>
      <c r="D304" s="39">
        <v>0</v>
      </c>
      <c r="E304" s="39">
        <v>14</v>
      </c>
      <c r="F304" s="18">
        <f t="shared" si="8"/>
        <v>129</v>
      </c>
      <c r="G304" s="18">
        <f t="shared" si="9"/>
        <v>115</v>
      </c>
    </row>
    <row r="305" spans="1:7" x14ac:dyDescent="0.35">
      <c r="A305" s="21">
        <v>4</v>
      </c>
      <c r="B305" s="38" t="s">
        <v>116</v>
      </c>
      <c r="C305" s="38" t="s">
        <v>64</v>
      </c>
      <c r="D305" s="39">
        <v>0</v>
      </c>
      <c r="E305" s="39">
        <v>9</v>
      </c>
      <c r="F305" s="18">
        <f t="shared" si="8"/>
        <v>115</v>
      </c>
      <c r="G305" s="18">
        <f t="shared" si="9"/>
        <v>106</v>
      </c>
    </row>
    <row r="306" spans="1:7" x14ac:dyDescent="0.35">
      <c r="A306" s="21">
        <v>5</v>
      </c>
      <c r="B306" s="38" t="s">
        <v>116</v>
      </c>
      <c r="C306" s="38" t="s">
        <v>64</v>
      </c>
      <c r="D306" s="39">
        <v>0</v>
      </c>
      <c r="E306" s="39">
        <v>12</v>
      </c>
      <c r="F306" s="18">
        <f t="shared" si="8"/>
        <v>106</v>
      </c>
      <c r="G306" s="18">
        <f t="shared" si="9"/>
        <v>94</v>
      </c>
    </row>
    <row r="307" spans="1:7" x14ac:dyDescent="0.35">
      <c r="A307" s="21">
        <v>6</v>
      </c>
      <c r="B307" s="38" t="s">
        <v>116</v>
      </c>
      <c r="C307" s="38" t="s">
        <v>64</v>
      </c>
      <c r="D307" s="39">
        <v>0</v>
      </c>
      <c r="E307" s="39">
        <v>9</v>
      </c>
      <c r="F307" s="18">
        <f t="shared" si="8"/>
        <v>94</v>
      </c>
      <c r="G307" s="18">
        <f t="shared" si="9"/>
        <v>85</v>
      </c>
    </row>
    <row r="308" spans="1:7" x14ac:dyDescent="0.35">
      <c r="A308" s="21">
        <v>7</v>
      </c>
      <c r="B308" s="38" t="s">
        <v>116</v>
      </c>
      <c r="C308" s="38" t="s">
        <v>64</v>
      </c>
      <c r="D308" s="39">
        <v>0</v>
      </c>
      <c r="E308" s="39">
        <v>13</v>
      </c>
      <c r="F308" s="18">
        <f t="shared" si="8"/>
        <v>85</v>
      </c>
      <c r="G308" s="18">
        <f t="shared" si="9"/>
        <v>72</v>
      </c>
    </row>
    <row r="309" spans="1:7" x14ac:dyDescent="0.35">
      <c r="A309" s="21">
        <v>8</v>
      </c>
      <c r="B309" s="38" t="s">
        <v>116</v>
      </c>
      <c r="C309" s="38" t="s">
        <v>64</v>
      </c>
      <c r="D309" s="39">
        <v>0</v>
      </c>
      <c r="E309" s="39">
        <v>9</v>
      </c>
      <c r="F309" s="18">
        <f t="shared" si="8"/>
        <v>72</v>
      </c>
      <c r="G309" s="18">
        <f t="shared" si="9"/>
        <v>63</v>
      </c>
    </row>
    <row r="310" spans="1:7" x14ac:dyDescent="0.35">
      <c r="A310" s="21">
        <v>9</v>
      </c>
      <c r="B310" s="38" t="s">
        <v>116</v>
      </c>
      <c r="C310" s="38" t="s">
        <v>64</v>
      </c>
      <c r="D310" s="39">
        <v>0</v>
      </c>
      <c r="E310" s="39">
        <v>14</v>
      </c>
      <c r="F310" s="18">
        <f t="shared" si="8"/>
        <v>63</v>
      </c>
      <c r="G310" s="18">
        <f t="shared" si="9"/>
        <v>49</v>
      </c>
    </row>
    <row r="311" spans="1:7" x14ac:dyDescent="0.35">
      <c r="A311" s="21">
        <v>10</v>
      </c>
      <c r="B311" s="38" t="s">
        <v>116</v>
      </c>
      <c r="C311" s="38" t="s">
        <v>64</v>
      </c>
      <c r="D311" s="39">
        <v>0</v>
      </c>
      <c r="E311" s="39">
        <v>9</v>
      </c>
      <c r="F311" s="18">
        <f t="shared" si="8"/>
        <v>49</v>
      </c>
      <c r="G311" s="18">
        <f t="shared" si="9"/>
        <v>40</v>
      </c>
    </row>
    <row r="312" spans="1:7" x14ac:dyDescent="0.35">
      <c r="A312" s="21">
        <v>11</v>
      </c>
      <c r="B312" s="38" t="s">
        <v>116</v>
      </c>
      <c r="C312" s="38" t="s">
        <v>64</v>
      </c>
      <c r="D312" s="39">
        <v>0</v>
      </c>
      <c r="E312" s="39">
        <v>15</v>
      </c>
      <c r="F312" s="18">
        <f t="shared" si="8"/>
        <v>40</v>
      </c>
      <c r="G312" s="18">
        <f t="shared" si="9"/>
        <v>25</v>
      </c>
    </row>
    <row r="313" spans="1:7" x14ac:dyDescent="0.35">
      <c r="A313" s="21">
        <v>12</v>
      </c>
      <c r="B313" s="38" t="s">
        <v>116</v>
      </c>
      <c r="C313" s="38" t="s">
        <v>64</v>
      </c>
      <c r="D313" s="39">
        <v>0</v>
      </c>
      <c r="E313" s="39">
        <v>13</v>
      </c>
      <c r="F313" s="18">
        <f t="shared" si="8"/>
        <v>25</v>
      </c>
      <c r="G313" s="18">
        <f t="shared" si="9"/>
        <v>12</v>
      </c>
    </row>
    <row r="314" spans="1:7" x14ac:dyDescent="0.35">
      <c r="A314" s="21">
        <v>1</v>
      </c>
      <c r="B314" s="38" t="s">
        <v>116</v>
      </c>
      <c r="C314" s="38" t="s">
        <v>66</v>
      </c>
      <c r="D314" s="39">
        <v>92</v>
      </c>
      <c r="E314" s="39">
        <v>8</v>
      </c>
      <c r="F314" s="18">
        <f t="shared" si="8"/>
        <v>0</v>
      </c>
      <c r="G314" s="18">
        <f t="shared" si="9"/>
        <v>84</v>
      </c>
    </row>
    <row r="315" spans="1:7" x14ac:dyDescent="0.35">
      <c r="A315" s="21">
        <v>2</v>
      </c>
      <c r="B315" s="38" t="s">
        <v>116</v>
      </c>
      <c r="C315" s="38" t="s">
        <v>66</v>
      </c>
      <c r="D315" s="39">
        <v>0</v>
      </c>
      <c r="E315" s="39">
        <v>8</v>
      </c>
      <c r="F315" s="18">
        <f t="shared" si="8"/>
        <v>84</v>
      </c>
      <c r="G315" s="18">
        <f t="shared" si="9"/>
        <v>76</v>
      </c>
    </row>
    <row r="316" spans="1:7" x14ac:dyDescent="0.35">
      <c r="A316" s="21">
        <v>3</v>
      </c>
      <c r="B316" s="38" t="s">
        <v>116</v>
      </c>
      <c r="C316" s="38" t="s">
        <v>66</v>
      </c>
      <c r="D316" s="39">
        <v>0</v>
      </c>
      <c r="E316" s="39">
        <v>9</v>
      </c>
      <c r="F316" s="18">
        <f t="shared" si="8"/>
        <v>76</v>
      </c>
      <c r="G316" s="18">
        <f t="shared" si="9"/>
        <v>67</v>
      </c>
    </row>
    <row r="317" spans="1:7" x14ac:dyDescent="0.35">
      <c r="A317" s="21">
        <v>4</v>
      </c>
      <c r="B317" s="38" t="s">
        <v>116</v>
      </c>
      <c r="C317" s="38" t="s">
        <v>66</v>
      </c>
      <c r="D317" s="39">
        <v>0</v>
      </c>
      <c r="E317" s="39">
        <v>6</v>
      </c>
      <c r="F317" s="18">
        <f t="shared" si="8"/>
        <v>67</v>
      </c>
      <c r="G317" s="18">
        <f t="shared" si="9"/>
        <v>61</v>
      </c>
    </row>
    <row r="318" spans="1:7" x14ac:dyDescent="0.35">
      <c r="A318" s="21">
        <v>5</v>
      </c>
      <c r="B318" s="38" t="s">
        <v>116</v>
      </c>
      <c r="C318" s="38" t="s">
        <v>66</v>
      </c>
      <c r="D318" s="39">
        <v>0</v>
      </c>
      <c r="E318" s="39">
        <v>8</v>
      </c>
      <c r="F318" s="18">
        <f t="shared" si="8"/>
        <v>61</v>
      </c>
      <c r="G318" s="18">
        <f t="shared" si="9"/>
        <v>53</v>
      </c>
    </row>
    <row r="319" spans="1:7" x14ac:dyDescent="0.35">
      <c r="A319" s="21">
        <v>6</v>
      </c>
      <c r="B319" s="38" t="s">
        <v>116</v>
      </c>
      <c r="C319" s="38" t="s">
        <v>66</v>
      </c>
      <c r="D319" s="39">
        <v>0</v>
      </c>
      <c r="E319" s="39">
        <v>5</v>
      </c>
      <c r="F319" s="18">
        <f t="shared" si="8"/>
        <v>53</v>
      </c>
      <c r="G319" s="18">
        <f t="shared" si="9"/>
        <v>48</v>
      </c>
    </row>
    <row r="320" spans="1:7" x14ac:dyDescent="0.35">
      <c r="A320" s="21">
        <v>7</v>
      </c>
      <c r="B320" s="38" t="s">
        <v>116</v>
      </c>
      <c r="C320" s="38" t="s">
        <v>66</v>
      </c>
      <c r="D320" s="39">
        <v>0</v>
      </c>
      <c r="E320" s="39">
        <v>8</v>
      </c>
      <c r="F320" s="18">
        <f t="shared" si="8"/>
        <v>48</v>
      </c>
      <c r="G320" s="18">
        <f t="shared" si="9"/>
        <v>40</v>
      </c>
    </row>
    <row r="321" spans="1:7" x14ac:dyDescent="0.35">
      <c r="A321" s="21">
        <v>8</v>
      </c>
      <c r="B321" s="38" t="s">
        <v>116</v>
      </c>
      <c r="C321" s="38" t="s">
        <v>66</v>
      </c>
      <c r="D321" s="39">
        <v>0</v>
      </c>
      <c r="E321" s="39">
        <v>6</v>
      </c>
      <c r="F321" s="18">
        <f t="shared" si="8"/>
        <v>40</v>
      </c>
      <c r="G321" s="18">
        <f t="shared" si="9"/>
        <v>34</v>
      </c>
    </row>
    <row r="322" spans="1:7" x14ac:dyDescent="0.35">
      <c r="A322" s="21">
        <v>9</v>
      </c>
      <c r="B322" s="38" t="s">
        <v>116</v>
      </c>
      <c r="C322" s="38" t="s">
        <v>66</v>
      </c>
      <c r="D322" s="39">
        <v>0</v>
      </c>
      <c r="E322" s="39">
        <v>7</v>
      </c>
      <c r="F322" s="18">
        <f t="shared" ref="F322:F385" si="10">IF(A322=1,0,G321)</f>
        <v>34</v>
      </c>
      <c r="G322" s="18">
        <f t="shared" ref="G322:G385" si="11">F322+D322-E322</f>
        <v>27</v>
      </c>
    </row>
    <row r="323" spans="1:7" x14ac:dyDescent="0.35">
      <c r="A323" s="21">
        <v>10</v>
      </c>
      <c r="B323" s="38" t="s">
        <v>116</v>
      </c>
      <c r="C323" s="38" t="s">
        <v>66</v>
      </c>
      <c r="D323" s="39">
        <v>0</v>
      </c>
      <c r="E323" s="39">
        <v>8</v>
      </c>
      <c r="F323" s="18">
        <f t="shared" si="10"/>
        <v>27</v>
      </c>
      <c r="G323" s="18">
        <f t="shared" si="11"/>
        <v>19</v>
      </c>
    </row>
    <row r="324" spans="1:7" x14ac:dyDescent="0.35">
      <c r="A324" s="21">
        <v>11</v>
      </c>
      <c r="B324" s="38" t="s">
        <v>116</v>
      </c>
      <c r="C324" s="38" t="s">
        <v>66</v>
      </c>
      <c r="D324" s="39">
        <v>0</v>
      </c>
      <c r="E324" s="39">
        <v>7</v>
      </c>
      <c r="F324" s="18">
        <f t="shared" si="10"/>
        <v>19</v>
      </c>
      <c r="G324" s="18">
        <f t="shared" si="11"/>
        <v>12</v>
      </c>
    </row>
    <row r="325" spans="1:7" x14ac:dyDescent="0.35">
      <c r="A325" s="21">
        <v>12</v>
      </c>
      <c r="B325" s="38" t="s">
        <v>116</v>
      </c>
      <c r="C325" s="38" t="s">
        <v>66</v>
      </c>
      <c r="D325" s="39">
        <v>0</v>
      </c>
      <c r="E325" s="39">
        <v>7</v>
      </c>
      <c r="F325" s="18">
        <f t="shared" si="10"/>
        <v>12</v>
      </c>
      <c r="G325" s="18">
        <f t="shared" si="11"/>
        <v>5</v>
      </c>
    </row>
    <row r="326" spans="1:7" x14ac:dyDescent="0.35">
      <c r="A326" s="21">
        <v>1</v>
      </c>
      <c r="B326" s="38" t="s">
        <v>116</v>
      </c>
      <c r="C326" s="38" t="s">
        <v>68</v>
      </c>
      <c r="D326" s="39">
        <v>129</v>
      </c>
      <c r="E326" s="39">
        <v>11</v>
      </c>
      <c r="F326" s="18">
        <f t="shared" si="10"/>
        <v>0</v>
      </c>
      <c r="G326" s="18">
        <f t="shared" si="11"/>
        <v>118</v>
      </c>
    </row>
    <row r="327" spans="1:7" x14ac:dyDescent="0.35">
      <c r="A327" s="21">
        <v>2</v>
      </c>
      <c r="B327" s="38" t="s">
        <v>116</v>
      </c>
      <c r="C327" s="38" t="s">
        <v>68</v>
      </c>
      <c r="D327" s="39">
        <v>0</v>
      </c>
      <c r="E327" s="39">
        <v>10</v>
      </c>
      <c r="F327" s="18">
        <f t="shared" si="10"/>
        <v>118</v>
      </c>
      <c r="G327" s="18">
        <f t="shared" si="11"/>
        <v>108</v>
      </c>
    </row>
    <row r="328" spans="1:7" x14ac:dyDescent="0.35">
      <c r="A328" s="21">
        <v>3</v>
      </c>
      <c r="B328" s="38" t="s">
        <v>116</v>
      </c>
      <c r="C328" s="38" t="s">
        <v>68</v>
      </c>
      <c r="D328" s="39">
        <v>0</v>
      </c>
      <c r="E328" s="39">
        <v>10</v>
      </c>
      <c r="F328" s="18">
        <f t="shared" si="10"/>
        <v>108</v>
      </c>
      <c r="G328" s="18">
        <f t="shared" si="11"/>
        <v>98</v>
      </c>
    </row>
    <row r="329" spans="1:7" x14ac:dyDescent="0.35">
      <c r="A329" s="21">
        <v>4</v>
      </c>
      <c r="B329" s="38" t="s">
        <v>116</v>
      </c>
      <c r="C329" s="38" t="s">
        <v>68</v>
      </c>
      <c r="D329" s="39">
        <v>0</v>
      </c>
      <c r="E329" s="39">
        <v>12</v>
      </c>
      <c r="F329" s="18">
        <f t="shared" si="10"/>
        <v>98</v>
      </c>
      <c r="G329" s="18">
        <f t="shared" si="11"/>
        <v>86</v>
      </c>
    </row>
    <row r="330" spans="1:7" x14ac:dyDescent="0.35">
      <c r="A330" s="21">
        <v>5</v>
      </c>
      <c r="B330" s="38" t="s">
        <v>116</v>
      </c>
      <c r="C330" s="38" t="s">
        <v>68</v>
      </c>
      <c r="D330" s="39">
        <v>0</v>
      </c>
      <c r="E330" s="39">
        <v>8</v>
      </c>
      <c r="F330" s="18">
        <f t="shared" si="10"/>
        <v>86</v>
      </c>
      <c r="G330" s="18">
        <f t="shared" si="11"/>
        <v>78</v>
      </c>
    </row>
    <row r="331" spans="1:7" x14ac:dyDescent="0.35">
      <c r="A331" s="21">
        <v>6</v>
      </c>
      <c r="B331" s="38" t="s">
        <v>116</v>
      </c>
      <c r="C331" s="38" t="s">
        <v>68</v>
      </c>
      <c r="D331" s="39">
        <v>0</v>
      </c>
      <c r="E331" s="39">
        <v>7</v>
      </c>
      <c r="F331" s="18">
        <f t="shared" si="10"/>
        <v>78</v>
      </c>
      <c r="G331" s="18">
        <f t="shared" si="11"/>
        <v>71</v>
      </c>
    </row>
    <row r="332" spans="1:7" x14ac:dyDescent="0.35">
      <c r="A332" s="21">
        <v>7</v>
      </c>
      <c r="B332" s="38" t="s">
        <v>116</v>
      </c>
      <c r="C332" s="38" t="s">
        <v>68</v>
      </c>
      <c r="D332" s="39">
        <v>0</v>
      </c>
      <c r="E332" s="39">
        <v>7</v>
      </c>
      <c r="F332" s="18">
        <f t="shared" si="10"/>
        <v>71</v>
      </c>
      <c r="G332" s="18">
        <f t="shared" si="11"/>
        <v>64</v>
      </c>
    </row>
    <row r="333" spans="1:7" x14ac:dyDescent="0.35">
      <c r="A333" s="21">
        <v>8</v>
      </c>
      <c r="B333" s="38" t="s">
        <v>116</v>
      </c>
      <c r="C333" s="38" t="s">
        <v>68</v>
      </c>
      <c r="D333" s="39">
        <v>0</v>
      </c>
      <c r="E333" s="39">
        <v>11</v>
      </c>
      <c r="F333" s="18">
        <f t="shared" si="10"/>
        <v>64</v>
      </c>
      <c r="G333" s="18">
        <f t="shared" si="11"/>
        <v>53</v>
      </c>
    </row>
    <row r="334" spans="1:7" x14ac:dyDescent="0.35">
      <c r="A334" s="21">
        <v>9</v>
      </c>
      <c r="B334" s="38" t="s">
        <v>116</v>
      </c>
      <c r="C334" s="38" t="s">
        <v>68</v>
      </c>
      <c r="D334" s="39">
        <v>0</v>
      </c>
      <c r="E334" s="39">
        <v>9</v>
      </c>
      <c r="F334" s="18">
        <f t="shared" si="10"/>
        <v>53</v>
      </c>
      <c r="G334" s="18">
        <f t="shared" si="11"/>
        <v>44</v>
      </c>
    </row>
    <row r="335" spans="1:7" x14ac:dyDescent="0.35">
      <c r="A335" s="21">
        <v>10</v>
      </c>
      <c r="B335" s="38" t="s">
        <v>116</v>
      </c>
      <c r="C335" s="38" t="s">
        <v>68</v>
      </c>
      <c r="D335" s="39">
        <v>0</v>
      </c>
      <c r="E335" s="39">
        <v>11</v>
      </c>
      <c r="F335" s="18">
        <f t="shared" si="10"/>
        <v>44</v>
      </c>
      <c r="G335" s="18">
        <f t="shared" si="11"/>
        <v>33</v>
      </c>
    </row>
    <row r="336" spans="1:7" x14ac:dyDescent="0.35">
      <c r="A336" s="21">
        <v>11</v>
      </c>
      <c r="B336" s="38" t="s">
        <v>116</v>
      </c>
      <c r="C336" s="38" t="s">
        <v>68</v>
      </c>
      <c r="D336" s="39">
        <v>0</v>
      </c>
      <c r="E336" s="39">
        <v>11</v>
      </c>
      <c r="F336" s="18">
        <f t="shared" si="10"/>
        <v>33</v>
      </c>
      <c r="G336" s="18">
        <f t="shared" si="11"/>
        <v>22</v>
      </c>
    </row>
    <row r="337" spans="1:7" x14ac:dyDescent="0.35">
      <c r="A337" s="21">
        <v>12</v>
      </c>
      <c r="B337" s="38" t="s">
        <v>116</v>
      </c>
      <c r="C337" s="38" t="s">
        <v>68</v>
      </c>
      <c r="D337" s="39">
        <v>0</v>
      </c>
      <c r="E337" s="39">
        <v>9</v>
      </c>
      <c r="F337" s="18">
        <f t="shared" si="10"/>
        <v>22</v>
      </c>
      <c r="G337" s="18">
        <f t="shared" si="11"/>
        <v>13</v>
      </c>
    </row>
    <row r="338" spans="1:7" x14ac:dyDescent="0.35">
      <c r="A338" s="21">
        <v>1</v>
      </c>
      <c r="B338" s="38" t="s">
        <v>119</v>
      </c>
      <c r="C338" s="38" t="s">
        <v>62</v>
      </c>
      <c r="D338" s="39">
        <v>143</v>
      </c>
      <c r="E338" s="39">
        <v>9</v>
      </c>
      <c r="F338" s="18">
        <f t="shared" si="10"/>
        <v>0</v>
      </c>
      <c r="G338" s="18">
        <f t="shared" si="11"/>
        <v>134</v>
      </c>
    </row>
    <row r="339" spans="1:7" x14ac:dyDescent="0.35">
      <c r="A339" s="21">
        <v>2</v>
      </c>
      <c r="B339" s="38" t="s">
        <v>119</v>
      </c>
      <c r="C339" s="38" t="s">
        <v>62</v>
      </c>
      <c r="D339" s="39">
        <v>0</v>
      </c>
      <c r="E339" s="39">
        <v>10</v>
      </c>
      <c r="F339" s="18">
        <f t="shared" si="10"/>
        <v>134</v>
      </c>
      <c r="G339" s="18">
        <f t="shared" si="11"/>
        <v>124</v>
      </c>
    </row>
    <row r="340" spans="1:7" x14ac:dyDescent="0.35">
      <c r="A340" s="21">
        <v>3</v>
      </c>
      <c r="B340" s="38" t="s">
        <v>119</v>
      </c>
      <c r="C340" s="38" t="s">
        <v>62</v>
      </c>
      <c r="D340" s="39">
        <v>0</v>
      </c>
      <c r="E340" s="39">
        <v>10</v>
      </c>
      <c r="F340" s="18">
        <f t="shared" si="10"/>
        <v>124</v>
      </c>
      <c r="G340" s="18">
        <f t="shared" si="11"/>
        <v>114</v>
      </c>
    </row>
    <row r="341" spans="1:7" x14ac:dyDescent="0.35">
      <c r="A341" s="21">
        <v>4</v>
      </c>
      <c r="B341" s="38" t="s">
        <v>119</v>
      </c>
      <c r="C341" s="38" t="s">
        <v>62</v>
      </c>
      <c r="D341" s="39">
        <v>0</v>
      </c>
      <c r="E341" s="39">
        <v>9</v>
      </c>
      <c r="F341" s="18">
        <f t="shared" si="10"/>
        <v>114</v>
      </c>
      <c r="G341" s="18">
        <f t="shared" si="11"/>
        <v>105</v>
      </c>
    </row>
    <row r="342" spans="1:7" x14ac:dyDescent="0.35">
      <c r="A342" s="21">
        <v>5</v>
      </c>
      <c r="B342" s="38" t="s">
        <v>119</v>
      </c>
      <c r="C342" s="38" t="s">
        <v>62</v>
      </c>
      <c r="D342" s="39">
        <v>0</v>
      </c>
      <c r="E342" s="39">
        <v>9</v>
      </c>
      <c r="F342" s="18">
        <f t="shared" si="10"/>
        <v>105</v>
      </c>
      <c r="G342" s="18">
        <f t="shared" si="11"/>
        <v>96</v>
      </c>
    </row>
    <row r="343" spans="1:7" x14ac:dyDescent="0.35">
      <c r="A343" s="21">
        <v>6</v>
      </c>
      <c r="B343" s="38" t="s">
        <v>119</v>
      </c>
      <c r="C343" s="38" t="s">
        <v>62</v>
      </c>
      <c r="D343" s="39">
        <v>0</v>
      </c>
      <c r="E343" s="39">
        <v>14</v>
      </c>
      <c r="F343" s="18">
        <f t="shared" si="10"/>
        <v>96</v>
      </c>
      <c r="G343" s="18">
        <f t="shared" si="11"/>
        <v>82</v>
      </c>
    </row>
    <row r="344" spans="1:7" x14ac:dyDescent="0.35">
      <c r="A344" s="21">
        <v>7</v>
      </c>
      <c r="B344" s="38" t="s">
        <v>119</v>
      </c>
      <c r="C344" s="38" t="s">
        <v>62</v>
      </c>
      <c r="D344" s="39">
        <v>0</v>
      </c>
      <c r="E344" s="39">
        <v>10</v>
      </c>
      <c r="F344" s="18">
        <f t="shared" si="10"/>
        <v>82</v>
      </c>
      <c r="G344" s="18">
        <f t="shared" si="11"/>
        <v>72</v>
      </c>
    </row>
    <row r="345" spans="1:7" x14ac:dyDescent="0.35">
      <c r="A345" s="21">
        <v>8</v>
      </c>
      <c r="B345" s="38" t="s">
        <v>119</v>
      </c>
      <c r="C345" s="38" t="s">
        <v>62</v>
      </c>
      <c r="D345" s="39">
        <v>0</v>
      </c>
      <c r="E345" s="39">
        <v>10</v>
      </c>
      <c r="F345" s="18">
        <f t="shared" si="10"/>
        <v>72</v>
      </c>
      <c r="G345" s="18">
        <f t="shared" si="11"/>
        <v>62</v>
      </c>
    </row>
    <row r="346" spans="1:7" x14ac:dyDescent="0.35">
      <c r="A346" s="21">
        <v>9</v>
      </c>
      <c r="B346" s="38" t="s">
        <v>119</v>
      </c>
      <c r="C346" s="38" t="s">
        <v>62</v>
      </c>
      <c r="D346" s="39">
        <v>0</v>
      </c>
      <c r="E346" s="39">
        <v>12</v>
      </c>
      <c r="F346" s="18">
        <f t="shared" si="10"/>
        <v>62</v>
      </c>
      <c r="G346" s="18">
        <f t="shared" si="11"/>
        <v>50</v>
      </c>
    </row>
    <row r="347" spans="1:7" x14ac:dyDescent="0.35">
      <c r="A347" s="21">
        <v>10</v>
      </c>
      <c r="B347" s="38" t="s">
        <v>119</v>
      </c>
      <c r="C347" s="38" t="s">
        <v>62</v>
      </c>
      <c r="D347" s="39">
        <v>0</v>
      </c>
      <c r="E347" s="39">
        <v>11</v>
      </c>
      <c r="F347" s="18">
        <f t="shared" si="10"/>
        <v>50</v>
      </c>
      <c r="G347" s="18">
        <f t="shared" si="11"/>
        <v>39</v>
      </c>
    </row>
    <row r="348" spans="1:7" x14ac:dyDescent="0.35">
      <c r="A348" s="21">
        <v>11</v>
      </c>
      <c r="B348" s="38" t="s">
        <v>119</v>
      </c>
      <c r="C348" s="38" t="s">
        <v>62</v>
      </c>
      <c r="D348" s="39">
        <v>0</v>
      </c>
      <c r="E348" s="39">
        <v>14</v>
      </c>
      <c r="F348" s="18">
        <f t="shared" si="10"/>
        <v>39</v>
      </c>
      <c r="G348" s="18">
        <f t="shared" si="11"/>
        <v>25</v>
      </c>
    </row>
    <row r="349" spans="1:7" x14ac:dyDescent="0.35">
      <c r="A349" s="21">
        <v>12</v>
      </c>
      <c r="B349" s="38" t="s">
        <v>119</v>
      </c>
      <c r="C349" s="38" t="s">
        <v>62</v>
      </c>
      <c r="D349" s="39">
        <v>0</v>
      </c>
      <c r="E349" s="39">
        <v>13</v>
      </c>
      <c r="F349" s="18">
        <f t="shared" si="10"/>
        <v>25</v>
      </c>
      <c r="G349" s="18">
        <f t="shared" si="11"/>
        <v>12</v>
      </c>
    </row>
    <row r="350" spans="1:7" x14ac:dyDescent="0.35">
      <c r="A350" s="21">
        <v>1</v>
      </c>
      <c r="B350" s="38" t="s">
        <v>119</v>
      </c>
      <c r="C350" s="38" t="s">
        <v>64</v>
      </c>
      <c r="D350" s="39">
        <v>183</v>
      </c>
      <c r="E350" s="39">
        <v>13</v>
      </c>
      <c r="F350" s="18">
        <f t="shared" si="10"/>
        <v>0</v>
      </c>
      <c r="G350" s="18">
        <f t="shared" si="11"/>
        <v>170</v>
      </c>
    </row>
    <row r="351" spans="1:7" x14ac:dyDescent="0.35">
      <c r="A351" s="21">
        <v>2</v>
      </c>
      <c r="B351" s="38" t="s">
        <v>119</v>
      </c>
      <c r="C351" s="38" t="s">
        <v>64</v>
      </c>
      <c r="D351" s="39">
        <v>0</v>
      </c>
      <c r="E351" s="39">
        <v>19</v>
      </c>
      <c r="F351" s="18">
        <f t="shared" si="10"/>
        <v>170</v>
      </c>
      <c r="G351" s="18">
        <f t="shared" si="11"/>
        <v>151</v>
      </c>
    </row>
    <row r="352" spans="1:7" x14ac:dyDescent="0.35">
      <c r="A352" s="21">
        <v>3</v>
      </c>
      <c r="B352" s="38" t="s">
        <v>119</v>
      </c>
      <c r="C352" s="38" t="s">
        <v>64</v>
      </c>
      <c r="D352" s="39">
        <v>0</v>
      </c>
      <c r="E352" s="39">
        <v>16</v>
      </c>
      <c r="F352" s="18">
        <f t="shared" si="10"/>
        <v>151</v>
      </c>
      <c r="G352" s="18">
        <f t="shared" si="11"/>
        <v>135</v>
      </c>
    </row>
    <row r="353" spans="1:7" x14ac:dyDescent="0.35">
      <c r="A353" s="21">
        <v>4</v>
      </c>
      <c r="B353" s="38" t="s">
        <v>119</v>
      </c>
      <c r="C353" s="38" t="s">
        <v>64</v>
      </c>
      <c r="D353" s="39">
        <v>0</v>
      </c>
      <c r="E353" s="39">
        <v>19</v>
      </c>
      <c r="F353" s="18">
        <f t="shared" si="10"/>
        <v>135</v>
      </c>
      <c r="G353" s="18">
        <f t="shared" si="11"/>
        <v>116</v>
      </c>
    </row>
    <row r="354" spans="1:7" x14ac:dyDescent="0.35">
      <c r="A354" s="21">
        <v>5</v>
      </c>
      <c r="B354" s="38" t="s">
        <v>119</v>
      </c>
      <c r="C354" s="38" t="s">
        <v>64</v>
      </c>
      <c r="D354" s="39">
        <v>0</v>
      </c>
      <c r="E354" s="39">
        <v>11</v>
      </c>
      <c r="F354" s="18">
        <f t="shared" si="10"/>
        <v>116</v>
      </c>
      <c r="G354" s="18">
        <f t="shared" si="11"/>
        <v>105</v>
      </c>
    </row>
    <row r="355" spans="1:7" x14ac:dyDescent="0.35">
      <c r="A355" s="21">
        <v>6</v>
      </c>
      <c r="B355" s="38" t="s">
        <v>119</v>
      </c>
      <c r="C355" s="38" t="s">
        <v>64</v>
      </c>
      <c r="D355" s="39">
        <v>0</v>
      </c>
      <c r="E355" s="39">
        <v>18</v>
      </c>
      <c r="F355" s="18">
        <f t="shared" si="10"/>
        <v>105</v>
      </c>
      <c r="G355" s="18">
        <f t="shared" si="11"/>
        <v>87</v>
      </c>
    </row>
    <row r="356" spans="1:7" x14ac:dyDescent="0.35">
      <c r="A356" s="21">
        <v>7</v>
      </c>
      <c r="B356" s="38" t="s">
        <v>119</v>
      </c>
      <c r="C356" s="38" t="s">
        <v>64</v>
      </c>
      <c r="D356" s="39">
        <v>0</v>
      </c>
      <c r="E356" s="39">
        <v>16</v>
      </c>
      <c r="F356" s="18">
        <f t="shared" si="10"/>
        <v>87</v>
      </c>
      <c r="G356" s="18">
        <f t="shared" si="11"/>
        <v>71</v>
      </c>
    </row>
    <row r="357" spans="1:7" x14ac:dyDescent="0.35">
      <c r="A357" s="21">
        <v>8</v>
      </c>
      <c r="B357" s="38" t="s">
        <v>119</v>
      </c>
      <c r="C357" s="38" t="s">
        <v>64</v>
      </c>
      <c r="D357" s="39">
        <v>0</v>
      </c>
      <c r="E357" s="39">
        <v>11</v>
      </c>
      <c r="F357" s="18">
        <f t="shared" si="10"/>
        <v>71</v>
      </c>
      <c r="G357" s="18">
        <f t="shared" si="11"/>
        <v>60</v>
      </c>
    </row>
    <row r="358" spans="1:7" x14ac:dyDescent="0.35">
      <c r="A358" s="21">
        <v>9</v>
      </c>
      <c r="B358" s="38" t="s">
        <v>119</v>
      </c>
      <c r="C358" s="38" t="s">
        <v>64</v>
      </c>
      <c r="D358" s="39">
        <v>0</v>
      </c>
      <c r="E358" s="39">
        <v>15</v>
      </c>
      <c r="F358" s="18">
        <f t="shared" si="10"/>
        <v>60</v>
      </c>
      <c r="G358" s="18">
        <f t="shared" si="11"/>
        <v>45</v>
      </c>
    </row>
    <row r="359" spans="1:7" x14ac:dyDescent="0.35">
      <c r="A359" s="21">
        <v>10</v>
      </c>
      <c r="B359" s="38" t="s">
        <v>119</v>
      </c>
      <c r="C359" s="38" t="s">
        <v>64</v>
      </c>
      <c r="D359" s="39">
        <v>0</v>
      </c>
      <c r="E359" s="39">
        <v>16</v>
      </c>
      <c r="F359" s="18">
        <f t="shared" si="10"/>
        <v>45</v>
      </c>
      <c r="G359" s="18">
        <f t="shared" si="11"/>
        <v>29</v>
      </c>
    </row>
    <row r="360" spans="1:7" x14ac:dyDescent="0.35">
      <c r="A360" s="21">
        <v>11</v>
      </c>
      <c r="B360" s="38" t="s">
        <v>119</v>
      </c>
      <c r="C360" s="38" t="s">
        <v>64</v>
      </c>
      <c r="D360" s="39">
        <v>0</v>
      </c>
      <c r="E360" s="39">
        <v>10</v>
      </c>
      <c r="F360" s="18">
        <f t="shared" si="10"/>
        <v>29</v>
      </c>
      <c r="G360" s="18">
        <f t="shared" si="11"/>
        <v>19</v>
      </c>
    </row>
    <row r="361" spans="1:7" x14ac:dyDescent="0.35">
      <c r="A361" s="21">
        <v>12</v>
      </c>
      <c r="B361" s="38" t="s">
        <v>119</v>
      </c>
      <c r="C361" s="38" t="s">
        <v>64</v>
      </c>
      <c r="D361" s="39">
        <v>0</v>
      </c>
      <c r="E361" s="39">
        <v>14</v>
      </c>
      <c r="F361" s="18">
        <f t="shared" si="10"/>
        <v>19</v>
      </c>
      <c r="G361" s="18">
        <f t="shared" si="11"/>
        <v>5</v>
      </c>
    </row>
    <row r="362" spans="1:7" x14ac:dyDescent="0.35">
      <c r="A362" s="21">
        <v>1</v>
      </c>
      <c r="B362" s="38" t="s">
        <v>119</v>
      </c>
      <c r="C362" s="38" t="s">
        <v>66</v>
      </c>
      <c r="D362" s="39">
        <v>123</v>
      </c>
      <c r="E362" s="39">
        <v>8</v>
      </c>
      <c r="F362" s="18">
        <f t="shared" si="10"/>
        <v>0</v>
      </c>
      <c r="G362" s="18">
        <f t="shared" si="11"/>
        <v>115</v>
      </c>
    </row>
    <row r="363" spans="1:7" x14ac:dyDescent="0.35">
      <c r="A363" s="21">
        <v>2</v>
      </c>
      <c r="B363" s="38" t="s">
        <v>119</v>
      </c>
      <c r="C363" s="38" t="s">
        <v>66</v>
      </c>
      <c r="D363" s="39">
        <v>0</v>
      </c>
      <c r="E363" s="39">
        <v>9</v>
      </c>
      <c r="F363" s="18">
        <f t="shared" si="10"/>
        <v>115</v>
      </c>
      <c r="G363" s="18">
        <f t="shared" si="11"/>
        <v>106</v>
      </c>
    </row>
    <row r="364" spans="1:7" x14ac:dyDescent="0.35">
      <c r="A364" s="21">
        <v>3</v>
      </c>
      <c r="B364" s="38" t="s">
        <v>119</v>
      </c>
      <c r="C364" s="38" t="s">
        <v>66</v>
      </c>
      <c r="D364" s="39">
        <v>0</v>
      </c>
      <c r="E364" s="39">
        <v>9</v>
      </c>
      <c r="F364" s="18">
        <f t="shared" si="10"/>
        <v>106</v>
      </c>
      <c r="G364" s="18">
        <f t="shared" si="11"/>
        <v>97</v>
      </c>
    </row>
    <row r="365" spans="1:7" x14ac:dyDescent="0.35">
      <c r="A365" s="21">
        <v>4</v>
      </c>
      <c r="B365" s="38" t="s">
        <v>119</v>
      </c>
      <c r="C365" s="38" t="s">
        <v>66</v>
      </c>
      <c r="D365" s="39">
        <v>0</v>
      </c>
      <c r="E365" s="39">
        <v>8</v>
      </c>
      <c r="F365" s="18">
        <f t="shared" si="10"/>
        <v>97</v>
      </c>
      <c r="G365" s="18">
        <f t="shared" si="11"/>
        <v>89</v>
      </c>
    </row>
    <row r="366" spans="1:7" x14ac:dyDescent="0.35">
      <c r="A366" s="21">
        <v>5</v>
      </c>
      <c r="B366" s="38" t="s">
        <v>119</v>
      </c>
      <c r="C366" s="38" t="s">
        <v>66</v>
      </c>
      <c r="D366" s="39">
        <v>0</v>
      </c>
      <c r="E366" s="39">
        <v>11</v>
      </c>
      <c r="F366" s="18">
        <f t="shared" si="10"/>
        <v>89</v>
      </c>
      <c r="G366" s="18">
        <f t="shared" si="11"/>
        <v>78</v>
      </c>
    </row>
    <row r="367" spans="1:7" x14ac:dyDescent="0.35">
      <c r="A367" s="21">
        <v>6</v>
      </c>
      <c r="B367" s="38" t="s">
        <v>119</v>
      </c>
      <c r="C367" s="38" t="s">
        <v>66</v>
      </c>
      <c r="D367" s="39">
        <v>0</v>
      </c>
      <c r="E367" s="39">
        <v>11</v>
      </c>
      <c r="F367" s="18">
        <f t="shared" si="10"/>
        <v>78</v>
      </c>
      <c r="G367" s="18">
        <f t="shared" si="11"/>
        <v>67</v>
      </c>
    </row>
    <row r="368" spans="1:7" x14ac:dyDescent="0.35">
      <c r="A368" s="21">
        <v>7</v>
      </c>
      <c r="B368" s="38" t="s">
        <v>119</v>
      </c>
      <c r="C368" s="38" t="s">
        <v>66</v>
      </c>
      <c r="D368" s="39">
        <v>0</v>
      </c>
      <c r="E368" s="39">
        <v>7</v>
      </c>
      <c r="F368" s="18">
        <f t="shared" si="10"/>
        <v>67</v>
      </c>
      <c r="G368" s="18">
        <f t="shared" si="11"/>
        <v>60</v>
      </c>
    </row>
    <row r="369" spans="1:7" x14ac:dyDescent="0.35">
      <c r="A369" s="21">
        <v>8</v>
      </c>
      <c r="B369" s="38" t="s">
        <v>119</v>
      </c>
      <c r="C369" s="38" t="s">
        <v>66</v>
      </c>
      <c r="D369" s="39">
        <v>0</v>
      </c>
      <c r="E369" s="39">
        <v>12</v>
      </c>
      <c r="F369" s="18">
        <f t="shared" si="10"/>
        <v>60</v>
      </c>
      <c r="G369" s="18">
        <f t="shared" si="11"/>
        <v>48</v>
      </c>
    </row>
    <row r="370" spans="1:7" x14ac:dyDescent="0.35">
      <c r="A370" s="21">
        <v>9</v>
      </c>
      <c r="B370" s="38" t="s">
        <v>119</v>
      </c>
      <c r="C370" s="38" t="s">
        <v>66</v>
      </c>
      <c r="D370" s="39">
        <v>0</v>
      </c>
      <c r="E370" s="39">
        <v>11</v>
      </c>
      <c r="F370" s="18">
        <f t="shared" si="10"/>
        <v>48</v>
      </c>
      <c r="G370" s="18">
        <f t="shared" si="11"/>
        <v>37</v>
      </c>
    </row>
    <row r="371" spans="1:7" x14ac:dyDescent="0.35">
      <c r="A371" s="21">
        <v>10</v>
      </c>
      <c r="B371" s="38" t="s">
        <v>119</v>
      </c>
      <c r="C371" s="38" t="s">
        <v>66</v>
      </c>
      <c r="D371" s="39">
        <v>0</v>
      </c>
      <c r="E371" s="39">
        <v>8</v>
      </c>
      <c r="F371" s="18">
        <f t="shared" si="10"/>
        <v>37</v>
      </c>
      <c r="G371" s="18">
        <f t="shared" si="11"/>
        <v>29</v>
      </c>
    </row>
    <row r="372" spans="1:7" x14ac:dyDescent="0.35">
      <c r="A372" s="21">
        <v>11</v>
      </c>
      <c r="B372" s="38" t="s">
        <v>119</v>
      </c>
      <c r="C372" s="38" t="s">
        <v>66</v>
      </c>
      <c r="D372" s="39">
        <v>0</v>
      </c>
      <c r="E372" s="39">
        <v>11</v>
      </c>
      <c r="F372" s="18">
        <f t="shared" si="10"/>
        <v>29</v>
      </c>
      <c r="G372" s="18">
        <f t="shared" si="11"/>
        <v>18</v>
      </c>
    </row>
    <row r="373" spans="1:7" x14ac:dyDescent="0.35">
      <c r="A373" s="21">
        <v>12</v>
      </c>
      <c r="B373" s="38" t="s">
        <v>119</v>
      </c>
      <c r="C373" s="38" t="s">
        <v>66</v>
      </c>
      <c r="D373" s="39">
        <v>0</v>
      </c>
      <c r="E373" s="39">
        <v>7</v>
      </c>
      <c r="F373" s="18">
        <f t="shared" si="10"/>
        <v>18</v>
      </c>
      <c r="G373" s="18">
        <f t="shared" si="11"/>
        <v>11</v>
      </c>
    </row>
    <row r="374" spans="1:7" x14ac:dyDescent="0.35">
      <c r="A374" s="21">
        <v>1</v>
      </c>
      <c r="B374" s="38" t="s">
        <v>119</v>
      </c>
      <c r="C374" s="38" t="s">
        <v>68</v>
      </c>
      <c r="D374" s="39">
        <v>172</v>
      </c>
      <c r="E374" s="39">
        <v>14</v>
      </c>
      <c r="F374" s="18">
        <f t="shared" si="10"/>
        <v>0</v>
      </c>
      <c r="G374" s="18">
        <f t="shared" si="11"/>
        <v>158</v>
      </c>
    </row>
    <row r="375" spans="1:7" x14ac:dyDescent="0.35">
      <c r="A375" s="21">
        <v>2</v>
      </c>
      <c r="B375" s="38" t="s">
        <v>119</v>
      </c>
      <c r="C375" s="38" t="s">
        <v>68</v>
      </c>
      <c r="D375" s="39">
        <v>0</v>
      </c>
      <c r="E375" s="39">
        <v>14</v>
      </c>
      <c r="F375" s="18">
        <f t="shared" si="10"/>
        <v>158</v>
      </c>
      <c r="G375" s="18">
        <f t="shared" si="11"/>
        <v>144</v>
      </c>
    </row>
    <row r="376" spans="1:7" x14ac:dyDescent="0.35">
      <c r="A376" s="21">
        <v>3</v>
      </c>
      <c r="B376" s="38" t="s">
        <v>119</v>
      </c>
      <c r="C376" s="38" t="s">
        <v>68</v>
      </c>
      <c r="D376" s="39">
        <v>0</v>
      </c>
      <c r="E376" s="39">
        <v>9</v>
      </c>
      <c r="F376" s="18">
        <f t="shared" si="10"/>
        <v>144</v>
      </c>
      <c r="G376" s="18">
        <f t="shared" si="11"/>
        <v>135</v>
      </c>
    </row>
    <row r="377" spans="1:7" x14ac:dyDescent="0.35">
      <c r="A377" s="21">
        <v>4</v>
      </c>
      <c r="B377" s="38" t="s">
        <v>119</v>
      </c>
      <c r="C377" s="38" t="s">
        <v>68</v>
      </c>
      <c r="D377" s="39">
        <v>0</v>
      </c>
      <c r="E377" s="39">
        <v>15</v>
      </c>
      <c r="F377" s="18">
        <f t="shared" si="10"/>
        <v>135</v>
      </c>
      <c r="G377" s="18">
        <f t="shared" si="11"/>
        <v>120</v>
      </c>
    </row>
    <row r="378" spans="1:7" x14ac:dyDescent="0.35">
      <c r="A378" s="21">
        <v>5</v>
      </c>
      <c r="B378" s="38" t="s">
        <v>119</v>
      </c>
      <c r="C378" s="38" t="s">
        <v>68</v>
      </c>
      <c r="D378" s="39">
        <v>0</v>
      </c>
      <c r="E378" s="39">
        <v>9</v>
      </c>
      <c r="F378" s="18">
        <f t="shared" si="10"/>
        <v>120</v>
      </c>
      <c r="G378" s="18">
        <f t="shared" si="11"/>
        <v>111</v>
      </c>
    </row>
    <row r="379" spans="1:7" x14ac:dyDescent="0.35">
      <c r="A379" s="21">
        <v>6</v>
      </c>
      <c r="B379" s="38" t="s">
        <v>119</v>
      </c>
      <c r="C379" s="38" t="s">
        <v>68</v>
      </c>
      <c r="D379" s="39">
        <v>0</v>
      </c>
      <c r="E379" s="39">
        <v>10</v>
      </c>
      <c r="F379" s="18">
        <f t="shared" si="10"/>
        <v>111</v>
      </c>
      <c r="G379" s="18">
        <f t="shared" si="11"/>
        <v>101</v>
      </c>
    </row>
    <row r="380" spans="1:7" x14ac:dyDescent="0.35">
      <c r="A380" s="21">
        <v>7</v>
      </c>
      <c r="B380" s="38" t="s">
        <v>119</v>
      </c>
      <c r="C380" s="38" t="s">
        <v>68</v>
      </c>
      <c r="D380" s="39">
        <v>0</v>
      </c>
      <c r="E380" s="39">
        <v>10</v>
      </c>
      <c r="F380" s="18">
        <f t="shared" si="10"/>
        <v>101</v>
      </c>
      <c r="G380" s="18">
        <f t="shared" si="11"/>
        <v>91</v>
      </c>
    </row>
    <row r="381" spans="1:7" x14ac:dyDescent="0.35">
      <c r="A381" s="21">
        <v>8</v>
      </c>
      <c r="B381" s="38" t="s">
        <v>119</v>
      </c>
      <c r="C381" s="38" t="s">
        <v>68</v>
      </c>
      <c r="D381" s="39">
        <v>0</v>
      </c>
      <c r="E381" s="39">
        <v>14</v>
      </c>
      <c r="F381" s="18">
        <f t="shared" si="10"/>
        <v>91</v>
      </c>
      <c r="G381" s="18">
        <f t="shared" si="11"/>
        <v>77</v>
      </c>
    </row>
    <row r="382" spans="1:7" x14ac:dyDescent="0.35">
      <c r="A382" s="21">
        <v>9</v>
      </c>
      <c r="B382" s="38" t="s">
        <v>119</v>
      </c>
      <c r="C382" s="38" t="s">
        <v>68</v>
      </c>
      <c r="D382" s="39">
        <v>0</v>
      </c>
      <c r="E382" s="39">
        <v>10</v>
      </c>
      <c r="F382" s="18">
        <f t="shared" si="10"/>
        <v>77</v>
      </c>
      <c r="G382" s="18">
        <f t="shared" si="11"/>
        <v>67</v>
      </c>
    </row>
    <row r="383" spans="1:7" x14ac:dyDescent="0.35">
      <c r="A383" s="21">
        <v>10</v>
      </c>
      <c r="B383" s="38" t="s">
        <v>119</v>
      </c>
      <c r="C383" s="38" t="s">
        <v>68</v>
      </c>
      <c r="D383" s="39">
        <v>0</v>
      </c>
      <c r="E383" s="39">
        <v>15</v>
      </c>
      <c r="F383" s="18">
        <f t="shared" si="10"/>
        <v>67</v>
      </c>
      <c r="G383" s="18">
        <f t="shared" si="11"/>
        <v>52</v>
      </c>
    </row>
    <row r="384" spans="1:7" x14ac:dyDescent="0.35">
      <c r="A384" s="21">
        <v>11</v>
      </c>
      <c r="B384" s="38" t="s">
        <v>119</v>
      </c>
      <c r="C384" s="38" t="s">
        <v>68</v>
      </c>
      <c r="D384" s="39">
        <v>0</v>
      </c>
      <c r="E384" s="39">
        <v>14</v>
      </c>
      <c r="F384" s="18">
        <f t="shared" si="10"/>
        <v>52</v>
      </c>
      <c r="G384" s="18">
        <f t="shared" si="11"/>
        <v>38</v>
      </c>
    </row>
    <row r="385" spans="1:7" x14ac:dyDescent="0.35">
      <c r="A385" s="21">
        <v>12</v>
      </c>
      <c r="B385" s="38" t="s">
        <v>119</v>
      </c>
      <c r="C385" s="38" t="s">
        <v>68</v>
      </c>
      <c r="D385" s="39">
        <v>0</v>
      </c>
      <c r="E385" s="39">
        <v>9</v>
      </c>
      <c r="F385" s="18">
        <f t="shared" si="10"/>
        <v>38</v>
      </c>
      <c r="G385" s="18">
        <f t="shared" si="11"/>
        <v>29</v>
      </c>
    </row>
    <row r="386" spans="1:7" x14ac:dyDescent="0.35">
      <c r="A386" s="21">
        <v>1</v>
      </c>
      <c r="B386" s="38" t="s">
        <v>121</v>
      </c>
      <c r="C386" s="38" t="s">
        <v>62</v>
      </c>
      <c r="D386" s="39">
        <v>69</v>
      </c>
      <c r="E386" s="39">
        <v>6</v>
      </c>
      <c r="F386" s="18">
        <f t="shared" ref="F386:F449" si="12">IF(A386=1,0,G385)</f>
        <v>0</v>
      </c>
      <c r="G386" s="18">
        <f t="shared" ref="G386:G449" si="13">F386+D386-E386</f>
        <v>63</v>
      </c>
    </row>
    <row r="387" spans="1:7" x14ac:dyDescent="0.35">
      <c r="A387" s="21">
        <v>2</v>
      </c>
      <c r="B387" s="38" t="s">
        <v>121</v>
      </c>
      <c r="C387" s="38" t="s">
        <v>62</v>
      </c>
      <c r="D387" s="39">
        <v>0</v>
      </c>
      <c r="E387" s="39">
        <v>7</v>
      </c>
      <c r="F387" s="18">
        <f t="shared" si="12"/>
        <v>63</v>
      </c>
      <c r="G387" s="18">
        <f t="shared" si="13"/>
        <v>56</v>
      </c>
    </row>
    <row r="388" spans="1:7" x14ac:dyDescent="0.35">
      <c r="A388" s="21">
        <v>3</v>
      </c>
      <c r="B388" s="38" t="s">
        <v>121</v>
      </c>
      <c r="C388" s="38" t="s">
        <v>62</v>
      </c>
      <c r="D388" s="39">
        <v>0</v>
      </c>
      <c r="E388" s="39">
        <v>5</v>
      </c>
      <c r="F388" s="18">
        <f t="shared" si="12"/>
        <v>56</v>
      </c>
      <c r="G388" s="18">
        <f t="shared" si="13"/>
        <v>51</v>
      </c>
    </row>
    <row r="389" spans="1:7" x14ac:dyDescent="0.35">
      <c r="A389" s="21">
        <v>4</v>
      </c>
      <c r="B389" s="38" t="s">
        <v>121</v>
      </c>
      <c r="C389" s="38" t="s">
        <v>62</v>
      </c>
      <c r="D389" s="39">
        <v>0</v>
      </c>
      <c r="E389" s="39">
        <v>7</v>
      </c>
      <c r="F389" s="18">
        <f t="shared" si="12"/>
        <v>51</v>
      </c>
      <c r="G389" s="18">
        <f t="shared" si="13"/>
        <v>44</v>
      </c>
    </row>
    <row r="390" spans="1:7" x14ac:dyDescent="0.35">
      <c r="A390" s="21">
        <v>5</v>
      </c>
      <c r="B390" s="38" t="s">
        <v>121</v>
      </c>
      <c r="C390" s="38" t="s">
        <v>62</v>
      </c>
      <c r="D390" s="39">
        <v>0</v>
      </c>
      <c r="E390" s="39">
        <v>4</v>
      </c>
      <c r="F390" s="18">
        <f t="shared" si="12"/>
        <v>44</v>
      </c>
      <c r="G390" s="18">
        <f t="shared" si="13"/>
        <v>40</v>
      </c>
    </row>
    <row r="391" spans="1:7" x14ac:dyDescent="0.35">
      <c r="A391" s="21">
        <v>6</v>
      </c>
      <c r="B391" s="38" t="s">
        <v>121</v>
      </c>
      <c r="C391" s="38" t="s">
        <v>62</v>
      </c>
      <c r="D391" s="39">
        <v>0</v>
      </c>
      <c r="E391" s="39">
        <v>7</v>
      </c>
      <c r="F391" s="18">
        <f t="shared" si="12"/>
        <v>40</v>
      </c>
      <c r="G391" s="18">
        <f t="shared" si="13"/>
        <v>33</v>
      </c>
    </row>
    <row r="392" spans="1:7" x14ac:dyDescent="0.35">
      <c r="A392" s="21">
        <v>7</v>
      </c>
      <c r="B392" s="38" t="s">
        <v>121</v>
      </c>
      <c r="C392" s="38" t="s">
        <v>62</v>
      </c>
      <c r="D392" s="39">
        <v>0</v>
      </c>
      <c r="E392" s="39">
        <v>8</v>
      </c>
      <c r="F392" s="18">
        <f t="shared" si="12"/>
        <v>33</v>
      </c>
      <c r="G392" s="18">
        <f t="shared" si="13"/>
        <v>25</v>
      </c>
    </row>
    <row r="393" spans="1:7" x14ac:dyDescent="0.35">
      <c r="A393" s="21">
        <v>8</v>
      </c>
      <c r="B393" s="38" t="s">
        <v>121</v>
      </c>
      <c r="C393" s="38" t="s">
        <v>62</v>
      </c>
      <c r="D393" s="39">
        <v>0</v>
      </c>
      <c r="E393" s="39">
        <v>7</v>
      </c>
      <c r="F393" s="18">
        <f t="shared" si="12"/>
        <v>25</v>
      </c>
      <c r="G393" s="18">
        <f t="shared" si="13"/>
        <v>18</v>
      </c>
    </row>
    <row r="394" spans="1:7" x14ac:dyDescent="0.35">
      <c r="A394" s="21">
        <v>9</v>
      </c>
      <c r="B394" s="38" t="s">
        <v>121</v>
      </c>
      <c r="C394" s="38" t="s">
        <v>62</v>
      </c>
      <c r="D394" s="39">
        <v>0</v>
      </c>
      <c r="E394" s="39">
        <v>7</v>
      </c>
      <c r="F394" s="18">
        <f t="shared" si="12"/>
        <v>18</v>
      </c>
      <c r="G394" s="18">
        <f t="shared" si="13"/>
        <v>11</v>
      </c>
    </row>
    <row r="395" spans="1:7" x14ac:dyDescent="0.35">
      <c r="A395" s="21">
        <v>10</v>
      </c>
      <c r="B395" s="38" t="s">
        <v>121</v>
      </c>
      <c r="C395" s="38" t="s">
        <v>62</v>
      </c>
      <c r="D395" s="39">
        <v>0</v>
      </c>
      <c r="E395" s="39">
        <v>7</v>
      </c>
      <c r="F395" s="18">
        <f t="shared" si="12"/>
        <v>11</v>
      </c>
      <c r="G395" s="18">
        <f t="shared" si="13"/>
        <v>4</v>
      </c>
    </row>
    <row r="396" spans="1:7" x14ac:dyDescent="0.35">
      <c r="A396" s="21">
        <v>11</v>
      </c>
      <c r="B396" s="38" t="s">
        <v>121</v>
      </c>
      <c r="C396" s="38" t="s">
        <v>62</v>
      </c>
      <c r="D396" s="39">
        <v>0</v>
      </c>
      <c r="E396" s="39">
        <v>4</v>
      </c>
      <c r="F396" s="18">
        <f t="shared" si="12"/>
        <v>4</v>
      </c>
      <c r="G396" s="18">
        <f t="shared" si="13"/>
        <v>0</v>
      </c>
    </row>
    <row r="397" spans="1:7" x14ac:dyDescent="0.35">
      <c r="A397" s="21">
        <v>12</v>
      </c>
      <c r="B397" s="38" t="s">
        <v>121</v>
      </c>
      <c r="C397" s="38" t="s">
        <v>62</v>
      </c>
      <c r="D397" s="39">
        <v>0</v>
      </c>
      <c r="E397" s="39">
        <v>0</v>
      </c>
      <c r="F397" s="18">
        <f t="shared" si="12"/>
        <v>0</v>
      </c>
      <c r="G397" s="18">
        <f t="shared" si="13"/>
        <v>0</v>
      </c>
    </row>
    <row r="398" spans="1:7" x14ac:dyDescent="0.35">
      <c r="A398" s="21">
        <v>1</v>
      </c>
      <c r="B398" s="38" t="s">
        <v>121</v>
      </c>
      <c r="C398" s="38" t="s">
        <v>64</v>
      </c>
      <c r="D398" s="39">
        <v>96</v>
      </c>
      <c r="E398" s="39">
        <v>6</v>
      </c>
      <c r="F398" s="18">
        <f t="shared" si="12"/>
        <v>0</v>
      </c>
      <c r="G398" s="18">
        <f t="shared" si="13"/>
        <v>90</v>
      </c>
    </row>
    <row r="399" spans="1:7" x14ac:dyDescent="0.35">
      <c r="A399" s="21">
        <v>2</v>
      </c>
      <c r="B399" s="38" t="s">
        <v>121</v>
      </c>
      <c r="C399" s="38" t="s">
        <v>64</v>
      </c>
      <c r="D399" s="39">
        <v>0</v>
      </c>
      <c r="E399" s="39">
        <v>8</v>
      </c>
      <c r="F399" s="18">
        <f t="shared" si="12"/>
        <v>90</v>
      </c>
      <c r="G399" s="18">
        <f t="shared" si="13"/>
        <v>82</v>
      </c>
    </row>
    <row r="400" spans="1:7" x14ac:dyDescent="0.35">
      <c r="A400" s="21">
        <v>3</v>
      </c>
      <c r="B400" s="38" t="s">
        <v>121</v>
      </c>
      <c r="C400" s="38" t="s">
        <v>64</v>
      </c>
      <c r="D400" s="39">
        <v>0</v>
      </c>
      <c r="E400" s="39">
        <v>9</v>
      </c>
      <c r="F400" s="18">
        <f t="shared" si="12"/>
        <v>82</v>
      </c>
      <c r="G400" s="18">
        <f t="shared" si="13"/>
        <v>73</v>
      </c>
    </row>
    <row r="401" spans="1:7" x14ac:dyDescent="0.35">
      <c r="A401" s="21">
        <v>4</v>
      </c>
      <c r="B401" s="38" t="s">
        <v>121</v>
      </c>
      <c r="C401" s="38" t="s">
        <v>64</v>
      </c>
      <c r="D401" s="39">
        <v>0</v>
      </c>
      <c r="E401" s="39">
        <v>9</v>
      </c>
      <c r="F401" s="18">
        <f t="shared" si="12"/>
        <v>73</v>
      </c>
      <c r="G401" s="18">
        <f t="shared" si="13"/>
        <v>64</v>
      </c>
    </row>
    <row r="402" spans="1:7" x14ac:dyDescent="0.35">
      <c r="A402" s="21">
        <v>5</v>
      </c>
      <c r="B402" s="38" t="s">
        <v>121</v>
      </c>
      <c r="C402" s="38" t="s">
        <v>64</v>
      </c>
      <c r="D402" s="39">
        <v>0</v>
      </c>
      <c r="E402" s="39">
        <v>10</v>
      </c>
      <c r="F402" s="18">
        <f t="shared" si="12"/>
        <v>64</v>
      </c>
      <c r="G402" s="18">
        <f t="shared" si="13"/>
        <v>54</v>
      </c>
    </row>
    <row r="403" spans="1:7" x14ac:dyDescent="0.35">
      <c r="A403" s="21">
        <v>6</v>
      </c>
      <c r="B403" s="38" t="s">
        <v>121</v>
      </c>
      <c r="C403" s="38" t="s">
        <v>64</v>
      </c>
      <c r="D403" s="39">
        <v>0</v>
      </c>
      <c r="E403" s="39">
        <v>6</v>
      </c>
      <c r="F403" s="18">
        <f t="shared" si="12"/>
        <v>54</v>
      </c>
      <c r="G403" s="18">
        <f t="shared" si="13"/>
        <v>48</v>
      </c>
    </row>
    <row r="404" spans="1:7" x14ac:dyDescent="0.35">
      <c r="A404" s="21">
        <v>7</v>
      </c>
      <c r="B404" s="38" t="s">
        <v>121</v>
      </c>
      <c r="C404" s="38" t="s">
        <v>64</v>
      </c>
      <c r="D404" s="39">
        <v>0</v>
      </c>
      <c r="E404" s="39">
        <v>9</v>
      </c>
      <c r="F404" s="18">
        <f t="shared" si="12"/>
        <v>48</v>
      </c>
      <c r="G404" s="18">
        <f t="shared" si="13"/>
        <v>39</v>
      </c>
    </row>
    <row r="405" spans="1:7" x14ac:dyDescent="0.35">
      <c r="A405" s="21">
        <v>8</v>
      </c>
      <c r="B405" s="38" t="s">
        <v>121</v>
      </c>
      <c r="C405" s="38" t="s">
        <v>64</v>
      </c>
      <c r="D405" s="39">
        <v>0</v>
      </c>
      <c r="E405" s="39">
        <v>7</v>
      </c>
      <c r="F405" s="18">
        <f t="shared" si="12"/>
        <v>39</v>
      </c>
      <c r="G405" s="18">
        <f t="shared" si="13"/>
        <v>32</v>
      </c>
    </row>
    <row r="406" spans="1:7" x14ac:dyDescent="0.35">
      <c r="A406" s="21">
        <v>9</v>
      </c>
      <c r="B406" s="38" t="s">
        <v>121</v>
      </c>
      <c r="C406" s="38" t="s">
        <v>64</v>
      </c>
      <c r="D406" s="39">
        <v>0</v>
      </c>
      <c r="E406" s="39">
        <v>7</v>
      </c>
      <c r="F406" s="18">
        <f t="shared" si="12"/>
        <v>32</v>
      </c>
      <c r="G406" s="18">
        <f t="shared" si="13"/>
        <v>25</v>
      </c>
    </row>
    <row r="407" spans="1:7" x14ac:dyDescent="0.35">
      <c r="A407" s="21">
        <v>10</v>
      </c>
      <c r="B407" s="38" t="s">
        <v>121</v>
      </c>
      <c r="C407" s="38" t="s">
        <v>64</v>
      </c>
      <c r="D407" s="39">
        <v>0</v>
      </c>
      <c r="E407" s="39">
        <v>9</v>
      </c>
      <c r="F407" s="18">
        <f t="shared" si="12"/>
        <v>25</v>
      </c>
      <c r="G407" s="18">
        <f t="shared" si="13"/>
        <v>16</v>
      </c>
    </row>
    <row r="408" spans="1:7" x14ac:dyDescent="0.35">
      <c r="A408" s="21">
        <v>11</v>
      </c>
      <c r="B408" s="38" t="s">
        <v>121</v>
      </c>
      <c r="C408" s="38" t="s">
        <v>64</v>
      </c>
      <c r="D408" s="39">
        <v>0</v>
      </c>
      <c r="E408" s="39">
        <v>10</v>
      </c>
      <c r="F408" s="18">
        <f t="shared" si="12"/>
        <v>16</v>
      </c>
      <c r="G408" s="18">
        <f t="shared" si="13"/>
        <v>6</v>
      </c>
    </row>
    <row r="409" spans="1:7" x14ac:dyDescent="0.35">
      <c r="A409" s="21">
        <v>12</v>
      </c>
      <c r="B409" s="38" t="s">
        <v>121</v>
      </c>
      <c r="C409" s="38" t="s">
        <v>64</v>
      </c>
      <c r="D409" s="39">
        <v>0</v>
      </c>
      <c r="E409" s="39">
        <v>6</v>
      </c>
      <c r="F409" s="18">
        <f t="shared" si="12"/>
        <v>6</v>
      </c>
      <c r="G409" s="18">
        <f t="shared" si="13"/>
        <v>0</v>
      </c>
    </row>
    <row r="410" spans="1:7" x14ac:dyDescent="0.35">
      <c r="A410" s="21">
        <v>1</v>
      </c>
      <c r="B410" s="38" t="s">
        <v>121</v>
      </c>
      <c r="C410" s="38" t="s">
        <v>66</v>
      </c>
      <c r="D410" s="39">
        <v>59</v>
      </c>
      <c r="E410" s="39">
        <v>5</v>
      </c>
      <c r="F410" s="18">
        <f t="shared" si="12"/>
        <v>0</v>
      </c>
      <c r="G410" s="18">
        <f t="shared" si="13"/>
        <v>54</v>
      </c>
    </row>
    <row r="411" spans="1:7" x14ac:dyDescent="0.35">
      <c r="A411" s="21">
        <v>2</v>
      </c>
      <c r="B411" s="38" t="s">
        <v>121</v>
      </c>
      <c r="C411" s="38" t="s">
        <v>66</v>
      </c>
      <c r="D411" s="39">
        <v>0</v>
      </c>
      <c r="E411" s="39">
        <v>4</v>
      </c>
      <c r="F411" s="18">
        <f t="shared" si="12"/>
        <v>54</v>
      </c>
      <c r="G411" s="18">
        <f t="shared" si="13"/>
        <v>50</v>
      </c>
    </row>
    <row r="412" spans="1:7" x14ac:dyDescent="0.35">
      <c r="A412" s="21">
        <v>3</v>
      </c>
      <c r="B412" s="38" t="s">
        <v>121</v>
      </c>
      <c r="C412" s="38" t="s">
        <v>66</v>
      </c>
      <c r="D412" s="39">
        <v>0</v>
      </c>
      <c r="E412" s="39">
        <v>6</v>
      </c>
      <c r="F412" s="18">
        <f t="shared" si="12"/>
        <v>50</v>
      </c>
      <c r="G412" s="18">
        <f t="shared" si="13"/>
        <v>44</v>
      </c>
    </row>
    <row r="413" spans="1:7" x14ac:dyDescent="0.35">
      <c r="A413" s="21">
        <v>4</v>
      </c>
      <c r="B413" s="38" t="s">
        <v>121</v>
      </c>
      <c r="C413" s="38" t="s">
        <v>66</v>
      </c>
      <c r="D413" s="39">
        <v>0</v>
      </c>
      <c r="E413" s="39">
        <v>6</v>
      </c>
      <c r="F413" s="18">
        <f t="shared" si="12"/>
        <v>44</v>
      </c>
      <c r="G413" s="18">
        <f t="shared" si="13"/>
        <v>38</v>
      </c>
    </row>
    <row r="414" spans="1:7" x14ac:dyDescent="0.35">
      <c r="A414" s="21">
        <v>5</v>
      </c>
      <c r="B414" s="38" t="s">
        <v>121</v>
      </c>
      <c r="C414" s="38" t="s">
        <v>66</v>
      </c>
      <c r="D414" s="39">
        <v>0</v>
      </c>
      <c r="E414" s="39">
        <v>4</v>
      </c>
      <c r="F414" s="18">
        <f t="shared" si="12"/>
        <v>38</v>
      </c>
      <c r="G414" s="18">
        <f t="shared" si="13"/>
        <v>34</v>
      </c>
    </row>
    <row r="415" spans="1:7" x14ac:dyDescent="0.35">
      <c r="A415" s="21">
        <v>6</v>
      </c>
      <c r="B415" s="38" t="s">
        <v>121</v>
      </c>
      <c r="C415" s="38" t="s">
        <v>66</v>
      </c>
      <c r="D415" s="39">
        <v>0</v>
      </c>
      <c r="E415" s="39">
        <v>4</v>
      </c>
      <c r="F415" s="18">
        <f t="shared" si="12"/>
        <v>34</v>
      </c>
      <c r="G415" s="18">
        <f t="shared" si="13"/>
        <v>30</v>
      </c>
    </row>
    <row r="416" spans="1:7" x14ac:dyDescent="0.35">
      <c r="A416" s="21">
        <v>7</v>
      </c>
      <c r="B416" s="38" t="s">
        <v>121</v>
      </c>
      <c r="C416" s="38" t="s">
        <v>66</v>
      </c>
      <c r="D416" s="39">
        <v>0</v>
      </c>
      <c r="E416" s="39">
        <v>4</v>
      </c>
      <c r="F416" s="18">
        <f t="shared" si="12"/>
        <v>30</v>
      </c>
      <c r="G416" s="18">
        <f t="shared" si="13"/>
        <v>26</v>
      </c>
    </row>
    <row r="417" spans="1:7" x14ac:dyDescent="0.35">
      <c r="A417" s="21">
        <v>8</v>
      </c>
      <c r="B417" s="38" t="s">
        <v>121</v>
      </c>
      <c r="C417" s="38" t="s">
        <v>66</v>
      </c>
      <c r="D417" s="39">
        <v>0</v>
      </c>
      <c r="E417" s="39">
        <v>7</v>
      </c>
      <c r="F417" s="18">
        <f t="shared" si="12"/>
        <v>26</v>
      </c>
      <c r="G417" s="18">
        <f t="shared" si="13"/>
        <v>19</v>
      </c>
    </row>
    <row r="418" spans="1:7" x14ac:dyDescent="0.35">
      <c r="A418" s="21">
        <v>9</v>
      </c>
      <c r="B418" s="38" t="s">
        <v>121</v>
      </c>
      <c r="C418" s="38" t="s">
        <v>66</v>
      </c>
      <c r="D418" s="39">
        <v>0</v>
      </c>
      <c r="E418" s="39">
        <v>5</v>
      </c>
      <c r="F418" s="18">
        <f t="shared" si="12"/>
        <v>19</v>
      </c>
      <c r="G418" s="18">
        <f t="shared" si="13"/>
        <v>14</v>
      </c>
    </row>
    <row r="419" spans="1:7" x14ac:dyDescent="0.35">
      <c r="A419" s="21">
        <v>10</v>
      </c>
      <c r="B419" s="38" t="s">
        <v>121</v>
      </c>
      <c r="C419" s="38" t="s">
        <v>66</v>
      </c>
      <c r="D419" s="39">
        <v>0</v>
      </c>
      <c r="E419" s="39">
        <v>6</v>
      </c>
      <c r="F419" s="18">
        <f t="shared" si="12"/>
        <v>14</v>
      </c>
      <c r="G419" s="18">
        <f t="shared" si="13"/>
        <v>8</v>
      </c>
    </row>
    <row r="420" spans="1:7" x14ac:dyDescent="0.35">
      <c r="A420" s="21">
        <v>11</v>
      </c>
      <c r="B420" s="38" t="s">
        <v>121</v>
      </c>
      <c r="C420" s="38" t="s">
        <v>66</v>
      </c>
      <c r="D420" s="39">
        <v>0</v>
      </c>
      <c r="E420" s="39">
        <v>6</v>
      </c>
      <c r="F420" s="18">
        <f t="shared" si="12"/>
        <v>8</v>
      </c>
      <c r="G420" s="18">
        <f t="shared" si="13"/>
        <v>2</v>
      </c>
    </row>
    <row r="421" spans="1:7" x14ac:dyDescent="0.35">
      <c r="A421" s="21">
        <v>12</v>
      </c>
      <c r="B421" s="38" t="s">
        <v>121</v>
      </c>
      <c r="C421" s="38" t="s">
        <v>66</v>
      </c>
      <c r="D421" s="39">
        <v>0</v>
      </c>
      <c r="E421" s="39">
        <v>2</v>
      </c>
      <c r="F421" s="18">
        <f t="shared" si="12"/>
        <v>2</v>
      </c>
      <c r="G421" s="18">
        <f t="shared" si="13"/>
        <v>0</v>
      </c>
    </row>
    <row r="422" spans="1:7" x14ac:dyDescent="0.35">
      <c r="A422" s="21">
        <v>1</v>
      </c>
      <c r="B422" s="38" t="s">
        <v>121</v>
      </c>
      <c r="C422" s="38" t="s">
        <v>68</v>
      </c>
      <c r="D422" s="39">
        <v>81</v>
      </c>
      <c r="E422" s="39">
        <v>9</v>
      </c>
      <c r="F422" s="18">
        <f t="shared" si="12"/>
        <v>0</v>
      </c>
      <c r="G422" s="18">
        <f t="shared" si="13"/>
        <v>72</v>
      </c>
    </row>
    <row r="423" spans="1:7" x14ac:dyDescent="0.35">
      <c r="A423" s="21">
        <v>2</v>
      </c>
      <c r="B423" s="38" t="s">
        <v>121</v>
      </c>
      <c r="C423" s="38" t="s">
        <v>68</v>
      </c>
      <c r="D423" s="39">
        <v>0</v>
      </c>
      <c r="E423" s="39">
        <v>6</v>
      </c>
      <c r="F423" s="18">
        <f t="shared" si="12"/>
        <v>72</v>
      </c>
      <c r="G423" s="18">
        <f t="shared" si="13"/>
        <v>66</v>
      </c>
    </row>
    <row r="424" spans="1:7" x14ac:dyDescent="0.35">
      <c r="A424" s="21">
        <v>3</v>
      </c>
      <c r="B424" s="38" t="s">
        <v>121</v>
      </c>
      <c r="C424" s="38" t="s">
        <v>68</v>
      </c>
      <c r="D424" s="39">
        <v>0</v>
      </c>
      <c r="E424" s="39">
        <v>7</v>
      </c>
      <c r="F424" s="18">
        <f t="shared" si="12"/>
        <v>66</v>
      </c>
      <c r="G424" s="18">
        <f t="shared" si="13"/>
        <v>59</v>
      </c>
    </row>
    <row r="425" spans="1:7" x14ac:dyDescent="0.35">
      <c r="A425" s="21">
        <v>4</v>
      </c>
      <c r="B425" s="38" t="s">
        <v>121</v>
      </c>
      <c r="C425" s="38" t="s">
        <v>68</v>
      </c>
      <c r="D425" s="39">
        <v>0</v>
      </c>
      <c r="E425" s="39">
        <v>8</v>
      </c>
      <c r="F425" s="18">
        <f t="shared" si="12"/>
        <v>59</v>
      </c>
      <c r="G425" s="18">
        <f t="shared" si="13"/>
        <v>51</v>
      </c>
    </row>
    <row r="426" spans="1:7" x14ac:dyDescent="0.35">
      <c r="A426" s="21">
        <v>5</v>
      </c>
      <c r="B426" s="38" t="s">
        <v>121</v>
      </c>
      <c r="C426" s="38" t="s">
        <v>68</v>
      </c>
      <c r="D426" s="39">
        <v>0</v>
      </c>
      <c r="E426" s="39">
        <v>8</v>
      </c>
      <c r="F426" s="18">
        <f t="shared" si="12"/>
        <v>51</v>
      </c>
      <c r="G426" s="18">
        <f t="shared" si="13"/>
        <v>43</v>
      </c>
    </row>
    <row r="427" spans="1:7" x14ac:dyDescent="0.35">
      <c r="A427" s="21">
        <v>6</v>
      </c>
      <c r="B427" s="38" t="s">
        <v>121</v>
      </c>
      <c r="C427" s="38" t="s">
        <v>68</v>
      </c>
      <c r="D427" s="39">
        <v>0</v>
      </c>
      <c r="E427" s="39">
        <v>9</v>
      </c>
      <c r="F427" s="18">
        <f t="shared" si="12"/>
        <v>43</v>
      </c>
      <c r="G427" s="18">
        <f t="shared" si="13"/>
        <v>34</v>
      </c>
    </row>
    <row r="428" spans="1:7" x14ac:dyDescent="0.35">
      <c r="A428" s="21">
        <v>7</v>
      </c>
      <c r="B428" s="38" t="s">
        <v>121</v>
      </c>
      <c r="C428" s="38" t="s">
        <v>68</v>
      </c>
      <c r="D428" s="39">
        <v>0</v>
      </c>
      <c r="E428" s="39">
        <v>5</v>
      </c>
      <c r="F428" s="18">
        <f t="shared" si="12"/>
        <v>34</v>
      </c>
      <c r="G428" s="18">
        <f t="shared" si="13"/>
        <v>29</v>
      </c>
    </row>
    <row r="429" spans="1:7" x14ac:dyDescent="0.35">
      <c r="A429" s="21">
        <v>8</v>
      </c>
      <c r="B429" s="38" t="s">
        <v>121</v>
      </c>
      <c r="C429" s="38" t="s">
        <v>68</v>
      </c>
      <c r="D429" s="39">
        <v>0</v>
      </c>
      <c r="E429" s="39">
        <v>7</v>
      </c>
      <c r="F429" s="18">
        <f t="shared" si="12"/>
        <v>29</v>
      </c>
      <c r="G429" s="18">
        <f t="shared" si="13"/>
        <v>22</v>
      </c>
    </row>
    <row r="430" spans="1:7" x14ac:dyDescent="0.35">
      <c r="A430" s="21">
        <v>9</v>
      </c>
      <c r="B430" s="38" t="s">
        <v>121</v>
      </c>
      <c r="C430" s="38" t="s">
        <v>68</v>
      </c>
      <c r="D430" s="39">
        <v>0</v>
      </c>
      <c r="E430" s="39">
        <v>7</v>
      </c>
      <c r="F430" s="18">
        <f t="shared" si="12"/>
        <v>22</v>
      </c>
      <c r="G430" s="18">
        <f t="shared" si="13"/>
        <v>15</v>
      </c>
    </row>
    <row r="431" spans="1:7" x14ac:dyDescent="0.35">
      <c r="A431" s="21">
        <v>10</v>
      </c>
      <c r="B431" s="38" t="s">
        <v>121</v>
      </c>
      <c r="C431" s="38" t="s">
        <v>68</v>
      </c>
      <c r="D431" s="39">
        <v>0</v>
      </c>
      <c r="E431" s="39">
        <v>7</v>
      </c>
      <c r="F431" s="18">
        <f t="shared" si="12"/>
        <v>15</v>
      </c>
      <c r="G431" s="18">
        <f t="shared" si="13"/>
        <v>8</v>
      </c>
    </row>
    <row r="432" spans="1:7" x14ac:dyDescent="0.35">
      <c r="A432" s="21">
        <v>11</v>
      </c>
      <c r="B432" s="38" t="s">
        <v>121</v>
      </c>
      <c r="C432" s="38" t="s">
        <v>68</v>
      </c>
      <c r="D432" s="39">
        <v>0</v>
      </c>
      <c r="E432" s="39">
        <v>5</v>
      </c>
      <c r="F432" s="18">
        <f t="shared" si="12"/>
        <v>8</v>
      </c>
      <c r="G432" s="18">
        <f t="shared" si="13"/>
        <v>3</v>
      </c>
    </row>
    <row r="433" spans="1:7" x14ac:dyDescent="0.35">
      <c r="A433" s="21">
        <v>12</v>
      </c>
      <c r="B433" s="38" t="s">
        <v>121</v>
      </c>
      <c r="C433" s="38" t="s">
        <v>68</v>
      </c>
      <c r="D433" s="39">
        <v>0</v>
      </c>
      <c r="E433" s="39">
        <v>3</v>
      </c>
      <c r="F433" s="18">
        <f t="shared" si="12"/>
        <v>3</v>
      </c>
      <c r="G433" s="18">
        <f t="shared" si="13"/>
        <v>0</v>
      </c>
    </row>
    <row r="434" spans="1:7" x14ac:dyDescent="0.35">
      <c r="A434" s="21">
        <v>1</v>
      </c>
      <c r="B434" s="38" t="s">
        <v>124</v>
      </c>
      <c r="C434" s="38" t="s">
        <v>62</v>
      </c>
      <c r="D434" s="39">
        <v>86</v>
      </c>
      <c r="E434" s="39">
        <v>7</v>
      </c>
      <c r="F434" s="18">
        <f t="shared" si="12"/>
        <v>0</v>
      </c>
      <c r="G434" s="18">
        <f t="shared" si="13"/>
        <v>79</v>
      </c>
    </row>
    <row r="435" spans="1:7" x14ac:dyDescent="0.35">
      <c r="A435" s="21">
        <v>2</v>
      </c>
      <c r="B435" s="38" t="s">
        <v>124</v>
      </c>
      <c r="C435" s="38" t="s">
        <v>62</v>
      </c>
      <c r="D435" s="39">
        <v>0</v>
      </c>
      <c r="E435" s="39">
        <v>8</v>
      </c>
      <c r="F435" s="18">
        <f t="shared" si="12"/>
        <v>79</v>
      </c>
      <c r="G435" s="18">
        <f t="shared" si="13"/>
        <v>71</v>
      </c>
    </row>
    <row r="436" spans="1:7" x14ac:dyDescent="0.35">
      <c r="A436" s="21">
        <v>3</v>
      </c>
      <c r="B436" s="38" t="s">
        <v>124</v>
      </c>
      <c r="C436" s="38" t="s">
        <v>62</v>
      </c>
      <c r="D436" s="39">
        <v>0</v>
      </c>
      <c r="E436" s="39">
        <v>8</v>
      </c>
      <c r="F436" s="18">
        <f t="shared" si="12"/>
        <v>71</v>
      </c>
      <c r="G436" s="18">
        <f t="shared" si="13"/>
        <v>63</v>
      </c>
    </row>
    <row r="437" spans="1:7" x14ac:dyDescent="0.35">
      <c r="A437" s="21">
        <v>4</v>
      </c>
      <c r="B437" s="38" t="s">
        <v>124</v>
      </c>
      <c r="C437" s="38" t="s">
        <v>62</v>
      </c>
      <c r="D437" s="39">
        <v>0</v>
      </c>
      <c r="E437" s="39">
        <v>7</v>
      </c>
      <c r="F437" s="18">
        <f t="shared" si="12"/>
        <v>63</v>
      </c>
      <c r="G437" s="18">
        <f t="shared" si="13"/>
        <v>56</v>
      </c>
    </row>
    <row r="438" spans="1:7" x14ac:dyDescent="0.35">
      <c r="A438" s="21">
        <v>5</v>
      </c>
      <c r="B438" s="38" t="s">
        <v>124</v>
      </c>
      <c r="C438" s="38" t="s">
        <v>62</v>
      </c>
      <c r="D438" s="39">
        <v>0</v>
      </c>
      <c r="E438" s="39">
        <v>7</v>
      </c>
      <c r="F438" s="18">
        <f t="shared" si="12"/>
        <v>56</v>
      </c>
      <c r="G438" s="18">
        <f t="shared" si="13"/>
        <v>49</v>
      </c>
    </row>
    <row r="439" spans="1:7" x14ac:dyDescent="0.35">
      <c r="A439" s="21">
        <v>6</v>
      </c>
      <c r="B439" s="38" t="s">
        <v>124</v>
      </c>
      <c r="C439" s="38" t="s">
        <v>62</v>
      </c>
      <c r="D439" s="39">
        <v>0</v>
      </c>
      <c r="E439" s="39">
        <v>6</v>
      </c>
      <c r="F439" s="18">
        <f t="shared" si="12"/>
        <v>49</v>
      </c>
      <c r="G439" s="18">
        <f t="shared" si="13"/>
        <v>43</v>
      </c>
    </row>
    <row r="440" spans="1:7" x14ac:dyDescent="0.35">
      <c r="A440" s="21">
        <v>7</v>
      </c>
      <c r="B440" s="38" t="s">
        <v>124</v>
      </c>
      <c r="C440" s="38" t="s">
        <v>62</v>
      </c>
      <c r="D440" s="39">
        <v>0</v>
      </c>
      <c r="E440" s="39">
        <v>7</v>
      </c>
      <c r="F440" s="18">
        <f t="shared" si="12"/>
        <v>43</v>
      </c>
      <c r="G440" s="18">
        <f t="shared" si="13"/>
        <v>36</v>
      </c>
    </row>
    <row r="441" spans="1:7" x14ac:dyDescent="0.35">
      <c r="A441" s="21">
        <v>8</v>
      </c>
      <c r="B441" s="38" t="s">
        <v>124</v>
      </c>
      <c r="C441" s="38" t="s">
        <v>62</v>
      </c>
      <c r="D441" s="39">
        <v>0</v>
      </c>
      <c r="E441" s="39">
        <v>6</v>
      </c>
      <c r="F441" s="18">
        <f t="shared" si="12"/>
        <v>36</v>
      </c>
      <c r="G441" s="18">
        <f t="shared" si="13"/>
        <v>30</v>
      </c>
    </row>
    <row r="442" spans="1:7" x14ac:dyDescent="0.35">
      <c r="A442" s="21">
        <v>9</v>
      </c>
      <c r="B442" s="38" t="s">
        <v>124</v>
      </c>
      <c r="C442" s="38" t="s">
        <v>62</v>
      </c>
      <c r="D442" s="39">
        <v>0</v>
      </c>
      <c r="E442" s="39">
        <v>5</v>
      </c>
      <c r="F442" s="18">
        <f t="shared" si="12"/>
        <v>30</v>
      </c>
      <c r="G442" s="18">
        <f t="shared" si="13"/>
        <v>25</v>
      </c>
    </row>
    <row r="443" spans="1:7" x14ac:dyDescent="0.35">
      <c r="A443" s="21">
        <v>10</v>
      </c>
      <c r="B443" s="38" t="s">
        <v>124</v>
      </c>
      <c r="C443" s="38" t="s">
        <v>62</v>
      </c>
      <c r="D443" s="39">
        <v>0</v>
      </c>
      <c r="E443" s="39">
        <v>7</v>
      </c>
      <c r="F443" s="18">
        <f t="shared" si="12"/>
        <v>25</v>
      </c>
      <c r="G443" s="18">
        <f t="shared" si="13"/>
        <v>18</v>
      </c>
    </row>
    <row r="444" spans="1:7" x14ac:dyDescent="0.35">
      <c r="A444" s="21">
        <v>11</v>
      </c>
      <c r="B444" s="38" t="s">
        <v>124</v>
      </c>
      <c r="C444" s="38" t="s">
        <v>62</v>
      </c>
      <c r="D444" s="39">
        <v>0</v>
      </c>
      <c r="E444" s="39">
        <v>7</v>
      </c>
      <c r="F444" s="18">
        <f t="shared" si="12"/>
        <v>18</v>
      </c>
      <c r="G444" s="18">
        <f t="shared" si="13"/>
        <v>11</v>
      </c>
    </row>
    <row r="445" spans="1:7" x14ac:dyDescent="0.35">
      <c r="A445" s="21">
        <v>12</v>
      </c>
      <c r="B445" s="38" t="s">
        <v>124</v>
      </c>
      <c r="C445" s="38" t="s">
        <v>62</v>
      </c>
      <c r="D445" s="39">
        <v>0</v>
      </c>
      <c r="E445" s="39">
        <v>6</v>
      </c>
      <c r="F445" s="18">
        <f t="shared" si="12"/>
        <v>11</v>
      </c>
      <c r="G445" s="18">
        <f t="shared" si="13"/>
        <v>5</v>
      </c>
    </row>
    <row r="446" spans="1:7" x14ac:dyDescent="0.35">
      <c r="A446" s="21">
        <v>1</v>
      </c>
      <c r="B446" s="38" t="s">
        <v>124</v>
      </c>
      <c r="C446" s="38" t="s">
        <v>64</v>
      </c>
      <c r="D446" s="39">
        <v>123</v>
      </c>
      <c r="E446" s="39">
        <v>10</v>
      </c>
      <c r="F446" s="18">
        <f t="shared" si="12"/>
        <v>0</v>
      </c>
      <c r="G446" s="18">
        <f t="shared" si="13"/>
        <v>113</v>
      </c>
    </row>
    <row r="447" spans="1:7" x14ac:dyDescent="0.35">
      <c r="A447" s="21">
        <v>2</v>
      </c>
      <c r="B447" s="38" t="s">
        <v>124</v>
      </c>
      <c r="C447" s="38" t="s">
        <v>64</v>
      </c>
      <c r="D447" s="39">
        <v>0</v>
      </c>
      <c r="E447" s="39">
        <v>11</v>
      </c>
      <c r="F447" s="18">
        <f t="shared" si="12"/>
        <v>113</v>
      </c>
      <c r="G447" s="18">
        <f t="shared" si="13"/>
        <v>102</v>
      </c>
    </row>
    <row r="448" spans="1:7" x14ac:dyDescent="0.35">
      <c r="A448" s="21">
        <v>3</v>
      </c>
      <c r="B448" s="38" t="s">
        <v>124</v>
      </c>
      <c r="C448" s="38" t="s">
        <v>64</v>
      </c>
      <c r="D448" s="39">
        <v>0</v>
      </c>
      <c r="E448" s="39">
        <v>10</v>
      </c>
      <c r="F448" s="18">
        <f t="shared" si="12"/>
        <v>102</v>
      </c>
      <c r="G448" s="18">
        <f t="shared" si="13"/>
        <v>92</v>
      </c>
    </row>
    <row r="449" spans="1:7" x14ac:dyDescent="0.35">
      <c r="A449" s="21">
        <v>4</v>
      </c>
      <c r="B449" s="38" t="s">
        <v>124</v>
      </c>
      <c r="C449" s="38" t="s">
        <v>64</v>
      </c>
      <c r="D449" s="39">
        <v>0</v>
      </c>
      <c r="E449" s="39">
        <v>10</v>
      </c>
      <c r="F449" s="18">
        <f t="shared" si="12"/>
        <v>92</v>
      </c>
      <c r="G449" s="18">
        <f t="shared" si="13"/>
        <v>82</v>
      </c>
    </row>
    <row r="450" spans="1:7" x14ac:dyDescent="0.35">
      <c r="A450" s="21">
        <v>5</v>
      </c>
      <c r="B450" s="38" t="s">
        <v>124</v>
      </c>
      <c r="C450" s="38" t="s">
        <v>64</v>
      </c>
      <c r="D450" s="39">
        <v>0</v>
      </c>
      <c r="E450" s="39">
        <v>9</v>
      </c>
      <c r="F450" s="18">
        <f t="shared" ref="F450:F513" si="14">IF(A450=1,0,G449)</f>
        <v>82</v>
      </c>
      <c r="G450" s="18">
        <f t="shared" ref="G450:G513" si="15">F450+D450-E450</f>
        <v>73</v>
      </c>
    </row>
    <row r="451" spans="1:7" x14ac:dyDescent="0.35">
      <c r="A451" s="21">
        <v>6</v>
      </c>
      <c r="B451" s="38" t="s">
        <v>124</v>
      </c>
      <c r="C451" s="38" t="s">
        <v>64</v>
      </c>
      <c r="D451" s="39">
        <v>0</v>
      </c>
      <c r="E451" s="39">
        <v>11</v>
      </c>
      <c r="F451" s="18">
        <f t="shared" si="14"/>
        <v>73</v>
      </c>
      <c r="G451" s="18">
        <f t="shared" si="15"/>
        <v>62</v>
      </c>
    </row>
    <row r="452" spans="1:7" x14ac:dyDescent="0.35">
      <c r="A452" s="21">
        <v>7</v>
      </c>
      <c r="B452" s="38" t="s">
        <v>124</v>
      </c>
      <c r="C452" s="38" t="s">
        <v>64</v>
      </c>
      <c r="D452" s="39">
        <v>0</v>
      </c>
      <c r="E452" s="39">
        <v>10</v>
      </c>
      <c r="F452" s="18">
        <f t="shared" si="14"/>
        <v>62</v>
      </c>
      <c r="G452" s="18">
        <f t="shared" si="15"/>
        <v>52</v>
      </c>
    </row>
    <row r="453" spans="1:7" x14ac:dyDescent="0.35">
      <c r="A453" s="21">
        <v>8</v>
      </c>
      <c r="B453" s="38" t="s">
        <v>124</v>
      </c>
      <c r="C453" s="38" t="s">
        <v>64</v>
      </c>
      <c r="D453" s="39">
        <v>0</v>
      </c>
      <c r="E453" s="39">
        <v>9</v>
      </c>
      <c r="F453" s="18">
        <f t="shared" si="14"/>
        <v>52</v>
      </c>
      <c r="G453" s="18">
        <f t="shared" si="15"/>
        <v>43</v>
      </c>
    </row>
    <row r="454" spans="1:7" x14ac:dyDescent="0.35">
      <c r="A454" s="21">
        <v>9</v>
      </c>
      <c r="B454" s="38" t="s">
        <v>124</v>
      </c>
      <c r="C454" s="38" t="s">
        <v>64</v>
      </c>
      <c r="D454" s="39">
        <v>0</v>
      </c>
      <c r="E454" s="39">
        <v>10</v>
      </c>
      <c r="F454" s="18">
        <f t="shared" si="14"/>
        <v>43</v>
      </c>
      <c r="G454" s="18">
        <f t="shared" si="15"/>
        <v>33</v>
      </c>
    </row>
    <row r="455" spans="1:7" x14ac:dyDescent="0.35">
      <c r="A455" s="21">
        <v>10</v>
      </c>
      <c r="B455" s="38" t="s">
        <v>124</v>
      </c>
      <c r="C455" s="38" t="s">
        <v>64</v>
      </c>
      <c r="D455" s="39">
        <v>0</v>
      </c>
      <c r="E455" s="39">
        <v>9</v>
      </c>
      <c r="F455" s="18">
        <f t="shared" si="14"/>
        <v>33</v>
      </c>
      <c r="G455" s="18">
        <f t="shared" si="15"/>
        <v>24</v>
      </c>
    </row>
    <row r="456" spans="1:7" x14ac:dyDescent="0.35">
      <c r="A456" s="21">
        <v>11</v>
      </c>
      <c r="B456" s="38" t="s">
        <v>124</v>
      </c>
      <c r="C456" s="38" t="s">
        <v>64</v>
      </c>
      <c r="D456" s="39">
        <v>0</v>
      </c>
      <c r="E456" s="39">
        <v>10</v>
      </c>
      <c r="F456" s="18">
        <f t="shared" si="14"/>
        <v>24</v>
      </c>
      <c r="G456" s="18">
        <f t="shared" si="15"/>
        <v>14</v>
      </c>
    </row>
    <row r="457" spans="1:7" x14ac:dyDescent="0.35">
      <c r="A457" s="21">
        <v>12</v>
      </c>
      <c r="B457" s="38" t="s">
        <v>124</v>
      </c>
      <c r="C457" s="38" t="s">
        <v>64</v>
      </c>
      <c r="D457" s="39">
        <v>0</v>
      </c>
      <c r="E457" s="39">
        <v>11</v>
      </c>
      <c r="F457" s="18">
        <f t="shared" si="14"/>
        <v>14</v>
      </c>
      <c r="G457" s="18">
        <f t="shared" si="15"/>
        <v>3</v>
      </c>
    </row>
    <row r="458" spans="1:7" x14ac:dyDescent="0.35">
      <c r="A458" s="21">
        <v>1</v>
      </c>
      <c r="B458" s="38" t="s">
        <v>124</v>
      </c>
      <c r="C458" s="38" t="s">
        <v>66</v>
      </c>
      <c r="D458" s="39">
        <v>82</v>
      </c>
      <c r="E458" s="39">
        <v>8</v>
      </c>
      <c r="F458" s="18">
        <f t="shared" si="14"/>
        <v>0</v>
      </c>
      <c r="G458" s="18">
        <f t="shared" si="15"/>
        <v>74</v>
      </c>
    </row>
    <row r="459" spans="1:7" x14ac:dyDescent="0.35">
      <c r="A459" s="21">
        <v>2</v>
      </c>
      <c r="B459" s="38" t="s">
        <v>124</v>
      </c>
      <c r="C459" s="38" t="s">
        <v>66</v>
      </c>
      <c r="D459" s="39">
        <v>0</v>
      </c>
      <c r="E459" s="39">
        <v>6</v>
      </c>
      <c r="F459" s="18">
        <f t="shared" si="14"/>
        <v>74</v>
      </c>
      <c r="G459" s="18">
        <f t="shared" si="15"/>
        <v>68</v>
      </c>
    </row>
    <row r="460" spans="1:7" x14ac:dyDescent="0.35">
      <c r="A460" s="21">
        <v>3</v>
      </c>
      <c r="B460" s="38" t="s">
        <v>124</v>
      </c>
      <c r="C460" s="38" t="s">
        <v>66</v>
      </c>
      <c r="D460" s="39">
        <v>0</v>
      </c>
      <c r="E460" s="39">
        <v>6</v>
      </c>
      <c r="F460" s="18">
        <f t="shared" si="14"/>
        <v>68</v>
      </c>
      <c r="G460" s="18">
        <f t="shared" si="15"/>
        <v>62</v>
      </c>
    </row>
    <row r="461" spans="1:7" x14ac:dyDescent="0.35">
      <c r="A461" s="21">
        <v>4</v>
      </c>
      <c r="B461" s="38" t="s">
        <v>124</v>
      </c>
      <c r="C461" s="38" t="s">
        <v>66</v>
      </c>
      <c r="D461" s="39">
        <v>0</v>
      </c>
      <c r="E461" s="39">
        <v>7</v>
      </c>
      <c r="F461" s="18">
        <f t="shared" si="14"/>
        <v>62</v>
      </c>
      <c r="G461" s="18">
        <f t="shared" si="15"/>
        <v>55</v>
      </c>
    </row>
    <row r="462" spans="1:7" x14ac:dyDescent="0.35">
      <c r="A462" s="21">
        <v>5</v>
      </c>
      <c r="B462" s="38" t="s">
        <v>124</v>
      </c>
      <c r="C462" s="38" t="s">
        <v>66</v>
      </c>
      <c r="D462" s="39">
        <v>0</v>
      </c>
      <c r="E462" s="39">
        <v>5</v>
      </c>
      <c r="F462" s="18">
        <f t="shared" si="14"/>
        <v>55</v>
      </c>
      <c r="G462" s="18">
        <f t="shared" si="15"/>
        <v>50</v>
      </c>
    </row>
    <row r="463" spans="1:7" x14ac:dyDescent="0.35">
      <c r="A463" s="21">
        <v>6</v>
      </c>
      <c r="B463" s="38" t="s">
        <v>124</v>
      </c>
      <c r="C463" s="38" t="s">
        <v>66</v>
      </c>
      <c r="D463" s="39">
        <v>0</v>
      </c>
      <c r="E463" s="39">
        <v>7</v>
      </c>
      <c r="F463" s="18">
        <f t="shared" si="14"/>
        <v>50</v>
      </c>
      <c r="G463" s="18">
        <f t="shared" si="15"/>
        <v>43</v>
      </c>
    </row>
    <row r="464" spans="1:7" x14ac:dyDescent="0.35">
      <c r="A464" s="21">
        <v>7</v>
      </c>
      <c r="B464" s="38" t="s">
        <v>124</v>
      </c>
      <c r="C464" s="38" t="s">
        <v>66</v>
      </c>
      <c r="D464" s="39">
        <v>0</v>
      </c>
      <c r="E464" s="39">
        <v>6</v>
      </c>
      <c r="F464" s="18">
        <f t="shared" si="14"/>
        <v>43</v>
      </c>
      <c r="G464" s="18">
        <f t="shared" si="15"/>
        <v>37</v>
      </c>
    </row>
    <row r="465" spans="1:7" x14ac:dyDescent="0.35">
      <c r="A465" s="21">
        <v>8</v>
      </c>
      <c r="B465" s="38" t="s">
        <v>124</v>
      </c>
      <c r="C465" s="38" t="s">
        <v>66</v>
      </c>
      <c r="D465" s="39">
        <v>0</v>
      </c>
      <c r="E465" s="39">
        <v>5</v>
      </c>
      <c r="F465" s="18">
        <f t="shared" si="14"/>
        <v>37</v>
      </c>
      <c r="G465" s="18">
        <f t="shared" si="15"/>
        <v>32</v>
      </c>
    </row>
    <row r="466" spans="1:7" x14ac:dyDescent="0.35">
      <c r="A466" s="21">
        <v>9</v>
      </c>
      <c r="B466" s="38" t="s">
        <v>124</v>
      </c>
      <c r="C466" s="38" t="s">
        <v>66</v>
      </c>
      <c r="D466" s="39">
        <v>0</v>
      </c>
      <c r="E466" s="39">
        <v>4</v>
      </c>
      <c r="F466" s="18">
        <f t="shared" si="14"/>
        <v>32</v>
      </c>
      <c r="G466" s="18">
        <f t="shared" si="15"/>
        <v>28</v>
      </c>
    </row>
    <row r="467" spans="1:7" x14ac:dyDescent="0.35">
      <c r="A467" s="21">
        <v>10</v>
      </c>
      <c r="B467" s="38" t="s">
        <v>124</v>
      </c>
      <c r="C467" s="38" t="s">
        <v>66</v>
      </c>
      <c r="D467" s="39">
        <v>0</v>
      </c>
      <c r="E467" s="39">
        <v>7</v>
      </c>
      <c r="F467" s="18">
        <f t="shared" si="14"/>
        <v>28</v>
      </c>
      <c r="G467" s="18">
        <f t="shared" si="15"/>
        <v>21</v>
      </c>
    </row>
    <row r="468" spans="1:7" x14ac:dyDescent="0.35">
      <c r="A468" s="21">
        <v>11</v>
      </c>
      <c r="B468" s="38" t="s">
        <v>124</v>
      </c>
      <c r="C468" s="38" t="s">
        <v>66</v>
      </c>
      <c r="D468" s="39">
        <v>0</v>
      </c>
      <c r="E468" s="39">
        <v>4</v>
      </c>
      <c r="F468" s="18">
        <f t="shared" si="14"/>
        <v>21</v>
      </c>
      <c r="G468" s="18">
        <f t="shared" si="15"/>
        <v>17</v>
      </c>
    </row>
    <row r="469" spans="1:7" x14ac:dyDescent="0.35">
      <c r="A469" s="21">
        <v>12</v>
      </c>
      <c r="B469" s="38" t="s">
        <v>124</v>
      </c>
      <c r="C469" s="38" t="s">
        <v>66</v>
      </c>
      <c r="D469" s="39">
        <v>0</v>
      </c>
      <c r="E469" s="39">
        <v>5</v>
      </c>
      <c r="F469" s="18">
        <f t="shared" si="14"/>
        <v>17</v>
      </c>
      <c r="G469" s="18">
        <f t="shared" si="15"/>
        <v>12</v>
      </c>
    </row>
    <row r="470" spans="1:7" x14ac:dyDescent="0.35">
      <c r="A470" s="21">
        <v>1</v>
      </c>
      <c r="B470" s="38" t="s">
        <v>124</v>
      </c>
      <c r="C470" s="38" t="s">
        <v>68</v>
      </c>
      <c r="D470" s="39">
        <v>100</v>
      </c>
      <c r="E470" s="39">
        <v>7</v>
      </c>
      <c r="F470" s="18">
        <f t="shared" si="14"/>
        <v>0</v>
      </c>
      <c r="G470" s="18">
        <f t="shared" si="15"/>
        <v>93</v>
      </c>
    </row>
    <row r="471" spans="1:7" x14ac:dyDescent="0.35">
      <c r="A471" s="21">
        <v>2</v>
      </c>
      <c r="B471" s="38" t="s">
        <v>124</v>
      </c>
      <c r="C471" s="38" t="s">
        <v>68</v>
      </c>
      <c r="D471" s="39">
        <v>0</v>
      </c>
      <c r="E471" s="39">
        <v>7</v>
      </c>
      <c r="F471" s="18">
        <f t="shared" si="14"/>
        <v>93</v>
      </c>
      <c r="G471" s="18">
        <f t="shared" si="15"/>
        <v>86</v>
      </c>
    </row>
    <row r="472" spans="1:7" x14ac:dyDescent="0.35">
      <c r="A472" s="21">
        <v>3</v>
      </c>
      <c r="B472" s="38" t="s">
        <v>124</v>
      </c>
      <c r="C472" s="38" t="s">
        <v>68</v>
      </c>
      <c r="D472" s="39">
        <v>0</v>
      </c>
      <c r="E472" s="39">
        <v>9</v>
      </c>
      <c r="F472" s="18">
        <f t="shared" si="14"/>
        <v>86</v>
      </c>
      <c r="G472" s="18">
        <f t="shared" si="15"/>
        <v>77</v>
      </c>
    </row>
    <row r="473" spans="1:7" x14ac:dyDescent="0.35">
      <c r="A473" s="21">
        <v>4</v>
      </c>
      <c r="B473" s="38" t="s">
        <v>124</v>
      </c>
      <c r="C473" s="38" t="s">
        <v>68</v>
      </c>
      <c r="D473" s="39">
        <v>0</v>
      </c>
      <c r="E473" s="39">
        <v>6</v>
      </c>
      <c r="F473" s="18">
        <f t="shared" si="14"/>
        <v>77</v>
      </c>
      <c r="G473" s="18">
        <f t="shared" si="15"/>
        <v>71</v>
      </c>
    </row>
    <row r="474" spans="1:7" x14ac:dyDescent="0.35">
      <c r="A474" s="21">
        <v>5</v>
      </c>
      <c r="B474" s="38" t="s">
        <v>124</v>
      </c>
      <c r="C474" s="38" t="s">
        <v>68</v>
      </c>
      <c r="D474" s="39">
        <v>0</v>
      </c>
      <c r="E474" s="39">
        <v>10</v>
      </c>
      <c r="F474" s="18">
        <f t="shared" si="14"/>
        <v>71</v>
      </c>
      <c r="G474" s="18">
        <f t="shared" si="15"/>
        <v>61</v>
      </c>
    </row>
    <row r="475" spans="1:7" x14ac:dyDescent="0.35">
      <c r="A475" s="21">
        <v>6</v>
      </c>
      <c r="B475" s="38" t="s">
        <v>124</v>
      </c>
      <c r="C475" s="38" t="s">
        <v>68</v>
      </c>
      <c r="D475" s="39">
        <v>0</v>
      </c>
      <c r="E475" s="39">
        <v>10</v>
      </c>
      <c r="F475" s="18">
        <f t="shared" si="14"/>
        <v>61</v>
      </c>
      <c r="G475" s="18">
        <f t="shared" si="15"/>
        <v>51</v>
      </c>
    </row>
    <row r="476" spans="1:7" x14ac:dyDescent="0.35">
      <c r="A476" s="21">
        <v>7</v>
      </c>
      <c r="B476" s="38" t="s">
        <v>124</v>
      </c>
      <c r="C476" s="38" t="s">
        <v>68</v>
      </c>
      <c r="D476" s="39">
        <v>0</v>
      </c>
      <c r="E476" s="39">
        <v>8</v>
      </c>
      <c r="F476" s="18">
        <f t="shared" si="14"/>
        <v>51</v>
      </c>
      <c r="G476" s="18">
        <f t="shared" si="15"/>
        <v>43</v>
      </c>
    </row>
    <row r="477" spans="1:7" x14ac:dyDescent="0.35">
      <c r="A477" s="21">
        <v>8</v>
      </c>
      <c r="B477" s="38" t="s">
        <v>124</v>
      </c>
      <c r="C477" s="38" t="s">
        <v>68</v>
      </c>
      <c r="D477" s="39">
        <v>0</v>
      </c>
      <c r="E477" s="39">
        <v>6</v>
      </c>
      <c r="F477" s="18">
        <f t="shared" si="14"/>
        <v>43</v>
      </c>
      <c r="G477" s="18">
        <f t="shared" si="15"/>
        <v>37</v>
      </c>
    </row>
    <row r="478" spans="1:7" x14ac:dyDescent="0.35">
      <c r="A478" s="21">
        <v>9</v>
      </c>
      <c r="B478" s="38" t="s">
        <v>124</v>
      </c>
      <c r="C478" s="38" t="s">
        <v>68</v>
      </c>
      <c r="D478" s="39">
        <v>0</v>
      </c>
      <c r="E478" s="39">
        <v>9</v>
      </c>
      <c r="F478" s="18">
        <f t="shared" si="14"/>
        <v>37</v>
      </c>
      <c r="G478" s="18">
        <f t="shared" si="15"/>
        <v>28</v>
      </c>
    </row>
    <row r="479" spans="1:7" x14ac:dyDescent="0.35">
      <c r="A479" s="21">
        <v>10</v>
      </c>
      <c r="B479" s="38" t="s">
        <v>124</v>
      </c>
      <c r="C479" s="38" t="s">
        <v>68</v>
      </c>
      <c r="D479" s="39">
        <v>0</v>
      </c>
      <c r="E479" s="39">
        <v>6</v>
      </c>
      <c r="F479" s="18">
        <f t="shared" si="14"/>
        <v>28</v>
      </c>
      <c r="G479" s="18">
        <f t="shared" si="15"/>
        <v>22</v>
      </c>
    </row>
    <row r="480" spans="1:7" x14ac:dyDescent="0.35">
      <c r="A480" s="21">
        <v>11</v>
      </c>
      <c r="B480" s="38" t="s">
        <v>124</v>
      </c>
      <c r="C480" s="38" t="s">
        <v>68</v>
      </c>
      <c r="D480" s="39">
        <v>0</v>
      </c>
      <c r="E480" s="39">
        <v>8</v>
      </c>
      <c r="F480" s="18">
        <f t="shared" si="14"/>
        <v>22</v>
      </c>
      <c r="G480" s="18">
        <f t="shared" si="15"/>
        <v>14</v>
      </c>
    </row>
    <row r="481" spans="1:7" x14ac:dyDescent="0.35">
      <c r="A481" s="21">
        <v>12</v>
      </c>
      <c r="B481" s="38" t="s">
        <v>124</v>
      </c>
      <c r="C481" s="38" t="s">
        <v>68</v>
      </c>
      <c r="D481" s="39">
        <v>0</v>
      </c>
      <c r="E481" s="39">
        <v>10</v>
      </c>
      <c r="F481" s="18">
        <f t="shared" si="14"/>
        <v>14</v>
      </c>
      <c r="G481" s="18">
        <f t="shared" si="15"/>
        <v>4</v>
      </c>
    </row>
    <row r="482" spans="1:7" x14ac:dyDescent="0.35">
      <c r="A482" s="21">
        <v>1</v>
      </c>
      <c r="B482" s="38" t="s">
        <v>126</v>
      </c>
      <c r="C482" s="38" t="s">
        <v>62</v>
      </c>
      <c r="D482" s="39">
        <v>133</v>
      </c>
      <c r="E482" s="39">
        <v>9</v>
      </c>
      <c r="F482" s="18">
        <f t="shared" si="14"/>
        <v>0</v>
      </c>
      <c r="G482" s="18">
        <f t="shared" si="15"/>
        <v>124</v>
      </c>
    </row>
    <row r="483" spans="1:7" x14ac:dyDescent="0.35">
      <c r="A483" s="21">
        <v>2</v>
      </c>
      <c r="B483" s="38" t="s">
        <v>126</v>
      </c>
      <c r="C483" s="38" t="s">
        <v>62</v>
      </c>
      <c r="D483" s="39">
        <v>0</v>
      </c>
      <c r="E483" s="39">
        <v>11</v>
      </c>
      <c r="F483" s="18">
        <f t="shared" si="14"/>
        <v>124</v>
      </c>
      <c r="G483" s="18">
        <f t="shared" si="15"/>
        <v>113</v>
      </c>
    </row>
    <row r="484" spans="1:7" x14ac:dyDescent="0.35">
      <c r="A484" s="21">
        <v>3</v>
      </c>
      <c r="B484" s="38" t="s">
        <v>126</v>
      </c>
      <c r="C484" s="38" t="s">
        <v>62</v>
      </c>
      <c r="D484" s="39">
        <v>0</v>
      </c>
      <c r="E484" s="39">
        <v>11</v>
      </c>
      <c r="F484" s="18">
        <f t="shared" si="14"/>
        <v>113</v>
      </c>
      <c r="G484" s="18">
        <f t="shared" si="15"/>
        <v>102</v>
      </c>
    </row>
    <row r="485" spans="1:7" x14ac:dyDescent="0.35">
      <c r="A485" s="21">
        <v>4</v>
      </c>
      <c r="B485" s="38" t="s">
        <v>126</v>
      </c>
      <c r="C485" s="38" t="s">
        <v>62</v>
      </c>
      <c r="D485" s="39">
        <v>0</v>
      </c>
      <c r="E485" s="39">
        <v>9</v>
      </c>
      <c r="F485" s="18">
        <f t="shared" si="14"/>
        <v>102</v>
      </c>
      <c r="G485" s="18">
        <f t="shared" si="15"/>
        <v>93</v>
      </c>
    </row>
    <row r="486" spans="1:7" x14ac:dyDescent="0.35">
      <c r="A486" s="21">
        <v>5</v>
      </c>
      <c r="B486" s="38" t="s">
        <v>126</v>
      </c>
      <c r="C486" s="38" t="s">
        <v>62</v>
      </c>
      <c r="D486" s="39">
        <v>0</v>
      </c>
      <c r="E486" s="39">
        <v>11</v>
      </c>
      <c r="F486" s="18">
        <f t="shared" si="14"/>
        <v>93</v>
      </c>
      <c r="G486" s="18">
        <f t="shared" si="15"/>
        <v>82</v>
      </c>
    </row>
    <row r="487" spans="1:7" x14ac:dyDescent="0.35">
      <c r="A487" s="21">
        <v>6</v>
      </c>
      <c r="B487" s="38" t="s">
        <v>126</v>
      </c>
      <c r="C487" s="38" t="s">
        <v>62</v>
      </c>
      <c r="D487" s="39">
        <v>0</v>
      </c>
      <c r="E487" s="39">
        <v>7</v>
      </c>
      <c r="F487" s="18">
        <f t="shared" si="14"/>
        <v>82</v>
      </c>
      <c r="G487" s="18">
        <f t="shared" si="15"/>
        <v>75</v>
      </c>
    </row>
    <row r="488" spans="1:7" x14ac:dyDescent="0.35">
      <c r="A488" s="21">
        <v>7</v>
      </c>
      <c r="B488" s="38" t="s">
        <v>126</v>
      </c>
      <c r="C488" s="38" t="s">
        <v>62</v>
      </c>
      <c r="D488" s="39">
        <v>0</v>
      </c>
      <c r="E488" s="39">
        <v>8</v>
      </c>
      <c r="F488" s="18">
        <f t="shared" si="14"/>
        <v>75</v>
      </c>
      <c r="G488" s="18">
        <f t="shared" si="15"/>
        <v>67</v>
      </c>
    </row>
    <row r="489" spans="1:7" x14ac:dyDescent="0.35">
      <c r="A489" s="21">
        <v>8</v>
      </c>
      <c r="B489" s="38" t="s">
        <v>126</v>
      </c>
      <c r="C489" s="38" t="s">
        <v>62</v>
      </c>
      <c r="D489" s="39">
        <v>0</v>
      </c>
      <c r="E489" s="39">
        <v>10</v>
      </c>
      <c r="F489" s="18">
        <f t="shared" si="14"/>
        <v>67</v>
      </c>
      <c r="G489" s="18">
        <f t="shared" si="15"/>
        <v>57</v>
      </c>
    </row>
    <row r="490" spans="1:7" x14ac:dyDescent="0.35">
      <c r="A490" s="21">
        <v>9</v>
      </c>
      <c r="B490" s="38" t="s">
        <v>126</v>
      </c>
      <c r="C490" s="38" t="s">
        <v>62</v>
      </c>
      <c r="D490" s="39">
        <v>0</v>
      </c>
      <c r="E490" s="39">
        <v>8</v>
      </c>
      <c r="F490" s="18">
        <f t="shared" si="14"/>
        <v>57</v>
      </c>
      <c r="G490" s="18">
        <f t="shared" si="15"/>
        <v>49</v>
      </c>
    </row>
    <row r="491" spans="1:7" x14ac:dyDescent="0.35">
      <c r="A491" s="21">
        <v>10</v>
      </c>
      <c r="B491" s="38" t="s">
        <v>126</v>
      </c>
      <c r="C491" s="38" t="s">
        <v>62</v>
      </c>
      <c r="D491" s="39">
        <v>0</v>
      </c>
      <c r="E491" s="39">
        <v>8</v>
      </c>
      <c r="F491" s="18">
        <f t="shared" si="14"/>
        <v>49</v>
      </c>
      <c r="G491" s="18">
        <f t="shared" si="15"/>
        <v>41</v>
      </c>
    </row>
    <row r="492" spans="1:7" x14ac:dyDescent="0.35">
      <c r="A492" s="21">
        <v>11</v>
      </c>
      <c r="B492" s="38" t="s">
        <v>126</v>
      </c>
      <c r="C492" s="38" t="s">
        <v>62</v>
      </c>
      <c r="D492" s="39">
        <v>0</v>
      </c>
      <c r="E492" s="39">
        <v>12</v>
      </c>
      <c r="F492" s="18">
        <f t="shared" si="14"/>
        <v>41</v>
      </c>
      <c r="G492" s="18">
        <f t="shared" si="15"/>
        <v>29</v>
      </c>
    </row>
    <row r="493" spans="1:7" x14ac:dyDescent="0.35">
      <c r="A493" s="21">
        <v>12</v>
      </c>
      <c r="B493" s="38" t="s">
        <v>126</v>
      </c>
      <c r="C493" s="38" t="s">
        <v>62</v>
      </c>
      <c r="D493" s="39">
        <v>0</v>
      </c>
      <c r="E493" s="39">
        <v>13</v>
      </c>
      <c r="F493" s="18">
        <f t="shared" si="14"/>
        <v>29</v>
      </c>
      <c r="G493" s="18">
        <f t="shared" si="15"/>
        <v>16</v>
      </c>
    </row>
    <row r="494" spans="1:7" x14ac:dyDescent="0.35">
      <c r="A494" s="21">
        <v>1</v>
      </c>
      <c r="B494" s="38" t="s">
        <v>126</v>
      </c>
      <c r="C494" s="38" t="s">
        <v>64</v>
      </c>
      <c r="D494" s="39">
        <v>172</v>
      </c>
      <c r="E494" s="39">
        <v>16</v>
      </c>
      <c r="F494" s="18">
        <f t="shared" si="14"/>
        <v>0</v>
      </c>
      <c r="G494" s="18">
        <f t="shared" si="15"/>
        <v>156</v>
      </c>
    </row>
    <row r="495" spans="1:7" x14ac:dyDescent="0.35">
      <c r="A495" s="21">
        <v>2</v>
      </c>
      <c r="B495" s="38" t="s">
        <v>126</v>
      </c>
      <c r="C495" s="38" t="s">
        <v>64</v>
      </c>
      <c r="D495" s="39">
        <v>0</v>
      </c>
      <c r="E495" s="39">
        <v>17</v>
      </c>
      <c r="F495" s="18">
        <f t="shared" si="14"/>
        <v>156</v>
      </c>
      <c r="G495" s="18">
        <f t="shared" si="15"/>
        <v>139</v>
      </c>
    </row>
    <row r="496" spans="1:7" x14ac:dyDescent="0.35">
      <c r="A496" s="21">
        <v>3</v>
      </c>
      <c r="B496" s="38" t="s">
        <v>126</v>
      </c>
      <c r="C496" s="38" t="s">
        <v>64</v>
      </c>
      <c r="D496" s="39">
        <v>0</v>
      </c>
      <c r="E496" s="39">
        <v>11</v>
      </c>
      <c r="F496" s="18">
        <f t="shared" si="14"/>
        <v>139</v>
      </c>
      <c r="G496" s="18">
        <f t="shared" si="15"/>
        <v>128</v>
      </c>
    </row>
    <row r="497" spans="1:7" x14ac:dyDescent="0.35">
      <c r="A497" s="21">
        <v>4</v>
      </c>
      <c r="B497" s="38" t="s">
        <v>126</v>
      </c>
      <c r="C497" s="38" t="s">
        <v>64</v>
      </c>
      <c r="D497" s="39">
        <v>0</v>
      </c>
      <c r="E497" s="39">
        <v>13</v>
      </c>
      <c r="F497" s="18">
        <f t="shared" si="14"/>
        <v>128</v>
      </c>
      <c r="G497" s="18">
        <f t="shared" si="15"/>
        <v>115</v>
      </c>
    </row>
    <row r="498" spans="1:7" x14ac:dyDescent="0.35">
      <c r="A498" s="21">
        <v>5</v>
      </c>
      <c r="B498" s="38" t="s">
        <v>126</v>
      </c>
      <c r="C498" s="38" t="s">
        <v>64</v>
      </c>
      <c r="D498" s="39">
        <v>0</v>
      </c>
      <c r="E498" s="39">
        <v>13</v>
      </c>
      <c r="F498" s="18">
        <f t="shared" si="14"/>
        <v>115</v>
      </c>
      <c r="G498" s="18">
        <f t="shared" si="15"/>
        <v>102</v>
      </c>
    </row>
    <row r="499" spans="1:7" x14ac:dyDescent="0.35">
      <c r="A499" s="21">
        <v>6</v>
      </c>
      <c r="B499" s="38" t="s">
        <v>126</v>
      </c>
      <c r="C499" s="38" t="s">
        <v>64</v>
      </c>
      <c r="D499" s="39">
        <v>0</v>
      </c>
      <c r="E499" s="39">
        <v>10</v>
      </c>
      <c r="F499" s="18">
        <f t="shared" si="14"/>
        <v>102</v>
      </c>
      <c r="G499" s="18">
        <f t="shared" si="15"/>
        <v>92</v>
      </c>
    </row>
    <row r="500" spans="1:7" x14ac:dyDescent="0.35">
      <c r="A500" s="21">
        <v>7</v>
      </c>
      <c r="B500" s="38" t="s">
        <v>126</v>
      </c>
      <c r="C500" s="38" t="s">
        <v>64</v>
      </c>
      <c r="D500" s="39">
        <v>0</v>
      </c>
      <c r="E500" s="39">
        <v>16</v>
      </c>
      <c r="F500" s="18">
        <f t="shared" si="14"/>
        <v>92</v>
      </c>
      <c r="G500" s="18">
        <f t="shared" si="15"/>
        <v>76</v>
      </c>
    </row>
    <row r="501" spans="1:7" x14ac:dyDescent="0.35">
      <c r="A501" s="21">
        <v>8</v>
      </c>
      <c r="B501" s="38" t="s">
        <v>126</v>
      </c>
      <c r="C501" s="38" t="s">
        <v>64</v>
      </c>
      <c r="D501" s="39">
        <v>0</v>
      </c>
      <c r="E501" s="39">
        <v>13</v>
      </c>
      <c r="F501" s="18">
        <f t="shared" si="14"/>
        <v>76</v>
      </c>
      <c r="G501" s="18">
        <f t="shared" si="15"/>
        <v>63</v>
      </c>
    </row>
    <row r="502" spans="1:7" x14ac:dyDescent="0.35">
      <c r="A502" s="21">
        <v>9</v>
      </c>
      <c r="B502" s="38" t="s">
        <v>126</v>
      </c>
      <c r="C502" s="38" t="s">
        <v>64</v>
      </c>
      <c r="D502" s="39">
        <v>0</v>
      </c>
      <c r="E502" s="39">
        <v>13</v>
      </c>
      <c r="F502" s="18">
        <f t="shared" si="14"/>
        <v>63</v>
      </c>
      <c r="G502" s="18">
        <f t="shared" si="15"/>
        <v>50</v>
      </c>
    </row>
    <row r="503" spans="1:7" x14ac:dyDescent="0.35">
      <c r="A503" s="21">
        <v>10</v>
      </c>
      <c r="B503" s="38" t="s">
        <v>126</v>
      </c>
      <c r="C503" s="38" t="s">
        <v>64</v>
      </c>
      <c r="D503" s="39">
        <v>0</v>
      </c>
      <c r="E503" s="39">
        <v>11</v>
      </c>
      <c r="F503" s="18">
        <f t="shared" si="14"/>
        <v>50</v>
      </c>
      <c r="G503" s="18">
        <f t="shared" si="15"/>
        <v>39</v>
      </c>
    </row>
    <row r="504" spans="1:7" x14ac:dyDescent="0.35">
      <c r="A504" s="21">
        <v>11</v>
      </c>
      <c r="B504" s="38" t="s">
        <v>126</v>
      </c>
      <c r="C504" s="38" t="s">
        <v>64</v>
      </c>
      <c r="D504" s="39">
        <v>0</v>
      </c>
      <c r="E504" s="39">
        <v>11</v>
      </c>
      <c r="F504" s="18">
        <f t="shared" si="14"/>
        <v>39</v>
      </c>
      <c r="G504" s="18">
        <f t="shared" si="15"/>
        <v>28</v>
      </c>
    </row>
    <row r="505" spans="1:7" x14ac:dyDescent="0.35">
      <c r="A505" s="21">
        <v>12</v>
      </c>
      <c r="B505" s="38" t="s">
        <v>126</v>
      </c>
      <c r="C505" s="38" t="s">
        <v>64</v>
      </c>
      <c r="D505" s="39">
        <v>0</v>
      </c>
      <c r="E505" s="39">
        <v>17</v>
      </c>
      <c r="F505" s="18">
        <f t="shared" si="14"/>
        <v>28</v>
      </c>
      <c r="G505" s="18">
        <f t="shared" si="15"/>
        <v>11</v>
      </c>
    </row>
    <row r="506" spans="1:7" x14ac:dyDescent="0.35">
      <c r="A506" s="21">
        <v>1</v>
      </c>
      <c r="B506" s="38" t="s">
        <v>126</v>
      </c>
      <c r="C506" s="38" t="s">
        <v>66</v>
      </c>
      <c r="D506" s="39">
        <v>97</v>
      </c>
      <c r="E506" s="39">
        <v>7</v>
      </c>
      <c r="F506" s="18">
        <f t="shared" si="14"/>
        <v>0</v>
      </c>
      <c r="G506" s="18">
        <f t="shared" si="15"/>
        <v>90</v>
      </c>
    </row>
    <row r="507" spans="1:7" x14ac:dyDescent="0.35">
      <c r="A507" s="21">
        <v>2</v>
      </c>
      <c r="B507" s="38" t="s">
        <v>126</v>
      </c>
      <c r="C507" s="38" t="s">
        <v>66</v>
      </c>
      <c r="D507" s="39">
        <v>0</v>
      </c>
      <c r="E507" s="39">
        <v>7</v>
      </c>
      <c r="F507" s="18">
        <f t="shared" si="14"/>
        <v>90</v>
      </c>
      <c r="G507" s="18">
        <f t="shared" si="15"/>
        <v>83</v>
      </c>
    </row>
    <row r="508" spans="1:7" x14ac:dyDescent="0.35">
      <c r="A508" s="21">
        <v>3</v>
      </c>
      <c r="B508" s="38" t="s">
        <v>126</v>
      </c>
      <c r="C508" s="38" t="s">
        <v>66</v>
      </c>
      <c r="D508" s="39">
        <v>0</v>
      </c>
      <c r="E508" s="39">
        <v>8</v>
      </c>
      <c r="F508" s="18">
        <f t="shared" si="14"/>
        <v>83</v>
      </c>
      <c r="G508" s="18">
        <f t="shared" si="15"/>
        <v>75</v>
      </c>
    </row>
    <row r="509" spans="1:7" x14ac:dyDescent="0.35">
      <c r="A509" s="21">
        <v>4</v>
      </c>
      <c r="B509" s="38" t="s">
        <v>126</v>
      </c>
      <c r="C509" s="38" t="s">
        <v>66</v>
      </c>
      <c r="D509" s="39">
        <v>0</v>
      </c>
      <c r="E509" s="39">
        <v>9</v>
      </c>
      <c r="F509" s="18">
        <f t="shared" si="14"/>
        <v>75</v>
      </c>
      <c r="G509" s="18">
        <f t="shared" si="15"/>
        <v>66</v>
      </c>
    </row>
    <row r="510" spans="1:7" x14ac:dyDescent="0.35">
      <c r="A510" s="21">
        <v>5</v>
      </c>
      <c r="B510" s="38" t="s">
        <v>126</v>
      </c>
      <c r="C510" s="38" t="s">
        <v>66</v>
      </c>
      <c r="D510" s="39">
        <v>0</v>
      </c>
      <c r="E510" s="39">
        <v>8</v>
      </c>
      <c r="F510" s="18">
        <f t="shared" si="14"/>
        <v>66</v>
      </c>
      <c r="G510" s="18">
        <f t="shared" si="15"/>
        <v>58</v>
      </c>
    </row>
    <row r="511" spans="1:7" x14ac:dyDescent="0.35">
      <c r="A511" s="21">
        <v>6</v>
      </c>
      <c r="B511" s="38" t="s">
        <v>126</v>
      </c>
      <c r="C511" s="38" t="s">
        <v>66</v>
      </c>
      <c r="D511" s="39">
        <v>0</v>
      </c>
      <c r="E511" s="39">
        <v>6</v>
      </c>
      <c r="F511" s="18">
        <f t="shared" si="14"/>
        <v>58</v>
      </c>
      <c r="G511" s="18">
        <f t="shared" si="15"/>
        <v>52</v>
      </c>
    </row>
    <row r="512" spans="1:7" x14ac:dyDescent="0.35">
      <c r="A512" s="21">
        <v>7</v>
      </c>
      <c r="B512" s="38" t="s">
        <v>126</v>
      </c>
      <c r="C512" s="38" t="s">
        <v>66</v>
      </c>
      <c r="D512" s="39">
        <v>0</v>
      </c>
      <c r="E512" s="39">
        <v>7</v>
      </c>
      <c r="F512" s="18">
        <f t="shared" si="14"/>
        <v>52</v>
      </c>
      <c r="G512" s="18">
        <f t="shared" si="15"/>
        <v>45</v>
      </c>
    </row>
    <row r="513" spans="1:7" x14ac:dyDescent="0.35">
      <c r="A513" s="21">
        <v>8</v>
      </c>
      <c r="B513" s="38" t="s">
        <v>126</v>
      </c>
      <c r="C513" s="38" t="s">
        <v>66</v>
      </c>
      <c r="D513" s="39">
        <v>0</v>
      </c>
      <c r="E513" s="39">
        <v>10</v>
      </c>
      <c r="F513" s="18">
        <f t="shared" si="14"/>
        <v>45</v>
      </c>
      <c r="G513" s="18">
        <f t="shared" si="15"/>
        <v>35</v>
      </c>
    </row>
    <row r="514" spans="1:7" x14ac:dyDescent="0.35">
      <c r="A514" s="21">
        <v>9</v>
      </c>
      <c r="B514" s="38" t="s">
        <v>126</v>
      </c>
      <c r="C514" s="38" t="s">
        <v>66</v>
      </c>
      <c r="D514" s="39">
        <v>0</v>
      </c>
      <c r="E514" s="39">
        <v>9</v>
      </c>
      <c r="F514" s="18">
        <f t="shared" ref="F514:F577" si="16">IF(A514=1,0,G513)</f>
        <v>35</v>
      </c>
      <c r="G514" s="18">
        <f t="shared" ref="G514:G577" si="17">F514+D514-E514</f>
        <v>26</v>
      </c>
    </row>
    <row r="515" spans="1:7" x14ac:dyDescent="0.35">
      <c r="A515" s="21">
        <v>10</v>
      </c>
      <c r="B515" s="38" t="s">
        <v>126</v>
      </c>
      <c r="C515" s="38" t="s">
        <v>66</v>
      </c>
      <c r="D515" s="39">
        <v>0</v>
      </c>
      <c r="E515" s="39">
        <v>9</v>
      </c>
      <c r="F515" s="18">
        <f t="shared" si="16"/>
        <v>26</v>
      </c>
      <c r="G515" s="18">
        <f t="shared" si="17"/>
        <v>17</v>
      </c>
    </row>
    <row r="516" spans="1:7" x14ac:dyDescent="0.35">
      <c r="A516" s="21">
        <v>11</v>
      </c>
      <c r="B516" s="38" t="s">
        <v>126</v>
      </c>
      <c r="C516" s="38" t="s">
        <v>66</v>
      </c>
      <c r="D516" s="39">
        <v>0</v>
      </c>
      <c r="E516" s="39">
        <v>9</v>
      </c>
      <c r="F516" s="18">
        <f t="shared" si="16"/>
        <v>17</v>
      </c>
      <c r="G516" s="18">
        <f t="shared" si="17"/>
        <v>8</v>
      </c>
    </row>
    <row r="517" spans="1:7" x14ac:dyDescent="0.35">
      <c r="A517" s="21">
        <v>12</v>
      </c>
      <c r="B517" s="38" t="s">
        <v>126</v>
      </c>
      <c r="C517" s="38" t="s">
        <v>66</v>
      </c>
      <c r="D517" s="39">
        <v>0</v>
      </c>
      <c r="E517" s="39">
        <v>8</v>
      </c>
      <c r="F517" s="18">
        <f t="shared" si="16"/>
        <v>8</v>
      </c>
      <c r="G517" s="18">
        <f t="shared" si="17"/>
        <v>0</v>
      </c>
    </row>
    <row r="518" spans="1:7" x14ac:dyDescent="0.35">
      <c r="A518" s="21">
        <v>1</v>
      </c>
      <c r="B518" s="38" t="s">
        <v>126</v>
      </c>
      <c r="C518" s="38" t="s">
        <v>68</v>
      </c>
      <c r="D518" s="39">
        <v>132</v>
      </c>
      <c r="E518" s="39">
        <v>11</v>
      </c>
      <c r="F518" s="18">
        <f t="shared" si="16"/>
        <v>0</v>
      </c>
      <c r="G518" s="18">
        <f t="shared" si="17"/>
        <v>121</v>
      </c>
    </row>
    <row r="519" spans="1:7" x14ac:dyDescent="0.35">
      <c r="A519" s="21">
        <v>2</v>
      </c>
      <c r="B519" s="38" t="s">
        <v>126</v>
      </c>
      <c r="C519" s="38" t="s">
        <v>68</v>
      </c>
      <c r="D519" s="39">
        <v>0</v>
      </c>
      <c r="E519" s="39">
        <v>12</v>
      </c>
      <c r="F519" s="18">
        <f t="shared" si="16"/>
        <v>121</v>
      </c>
      <c r="G519" s="18">
        <f t="shared" si="17"/>
        <v>109</v>
      </c>
    </row>
    <row r="520" spans="1:7" x14ac:dyDescent="0.35">
      <c r="A520" s="21">
        <v>3</v>
      </c>
      <c r="B520" s="38" t="s">
        <v>126</v>
      </c>
      <c r="C520" s="38" t="s">
        <v>68</v>
      </c>
      <c r="D520" s="39">
        <v>0</v>
      </c>
      <c r="E520" s="39">
        <v>10</v>
      </c>
      <c r="F520" s="18">
        <f t="shared" si="16"/>
        <v>109</v>
      </c>
      <c r="G520" s="18">
        <f t="shared" si="17"/>
        <v>99</v>
      </c>
    </row>
    <row r="521" spans="1:7" x14ac:dyDescent="0.35">
      <c r="A521" s="21">
        <v>4</v>
      </c>
      <c r="B521" s="38" t="s">
        <v>126</v>
      </c>
      <c r="C521" s="38" t="s">
        <v>68</v>
      </c>
      <c r="D521" s="39">
        <v>0</v>
      </c>
      <c r="E521" s="39">
        <v>14</v>
      </c>
      <c r="F521" s="18">
        <f t="shared" si="16"/>
        <v>99</v>
      </c>
      <c r="G521" s="18">
        <f t="shared" si="17"/>
        <v>85</v>
      </c>
    </row>
    <row r="522" spans="1:7" x14ac:dyDescent="0.35">
      <c r="A522" s="21">
        <v>5</v>
      </c>
      <c r="B522" s="38" t="s">
        <v>126</v>
      </c>
      <c r="C522" s="38" t="s">
        <v>68</v>
      </c>
      <c r="D522" s="39">
        <v>0</v>
      </c>
      <c r="E522" s="39">
        <v>11</v>
      </c>
      <c r="F522" s="18">
        <f t="shared" si="16"/>
        <v>85</v>
      </c>
      <c r="G522" s="18">
        <f t="shared" si="17"/>
        <v>74</v>
      </c>
    </row>
    <row r="523" spans="1:7" x14ac:dyDescent="0.35">
      <c r="A523" s="21">
        <v>6</v>
      </c>
      <c r="B523" s="38" t="s">
        <v>126</v>
      </c>
      <c r="C523" s="38" t="s">
        <v>68</v>
      </c>
      <c r="D523" s="39">
        <v>0</v>
      </c>
      <c r="E523" s="39">
        <v>13</v>
      </c>
      <c r="F523" s="18">
        <f t="shared" si="16"/>
        <v>74</v>
      </c>
      <c r="G523" s="18">
        <f t="shared" si="17"/>
        <v>61</v>
      </c>
    </row>
    <row r="524" spans="1:7" x14ac:dyDescent="0.35">
      <c r="A524" s="21">
        <v>7</v>
      </c>
      <c r="B524" s="38" t="s">
        <v>126</v>
      </c>
      <c r="C524" s="38" t="s">
        <v>68</v>
      </c>
      <c r="D524" s="39">
        <v>0</v>
      </c>
      <c r="E524" s="39">
        <v>14</v>
      </c>
      <c r="F524" s="18">
        <f t="shared" si="16"/>
        <v>61</v>
      </c>
      <c r="G524" s="18">
        <f t="shared" si="17"/>
        <v>47</v>
      </c>
    </row>
    <row r="525" spans="1:7" x14ac:dyDescent="0.35">
      <c r="A525" s="21">
        <v>8</v>
      </c>
      <c r="B525" s="38" t="s">
        <v>126</v>
      </c>
      <c r="C525" s="38" t="s">
        <v>68</v>
      </c>
      <c r="D525" s="39">
        <v>0</v>
      </c>
      <c r="E525" s="39">
        <v>12</v>
      </c>
      <c r="F525" s="18">
        <f t="shared" si="16"/>
        <v>47</v>
      </c>
      <c r="G525" s="18">
        <f t="shared" si="17"/>
        <v>35</v>
      </c>
    </row>
    <row r="526" spans="1:7" x14ac:dyDescent="0.35">
      <c r="A526" s="21">
        <v>9</v>
      </c>
      <c r="B526" s="38" t="s">
        <v>126</v>
      </c>
      <c r="C526" s="38" t="s">
        <v>68</v>
      </c>
      <c r="D526" s="39">
        <v>0</v>
      </c>
      <c r="E526" s="39">
        <v>14</v>
      </c>
      <c r="F526" s="18">
        <f t="shared" si="16"/>
        <v>35</v>
      </c>
      <c r="G526" s="18">
        <f t="shared" si="17"/>
        <v>21</v>
      </c>
    </row>
    <row r="527" spans="1:7" x14ac:dyDescent="0.35">
      <c r="A527" s="21">
        <v>10</v>
      </c>
      <c r="B527" s="38" t="s">
        <v>126</v>
      </c>
      <c r="C527" s="38" t="s">
        <v>68</v>
      </c>
      <c r="D527" s="39">
        <v>0</v>
      </c>
      <c r="E527" s="39">
        <v>12</v>
      </c>
      <c r="F527" s="18">
        <f t="shared" si="16"/>
        <v>21</v>
      </c>
      <c r="G527" s="18">
        <f t="shared" si="17"/>
        <v>9</v>
      </c>
    </row>
    <row r="528" spans="1:7" x14ac:dyDescent="0.35">
      <c r="A528" s="21">
        <v>11</v>
      </c>
      <c r="B528" s="38" t="s">
        <v>126</v>
      </c>
      <c r="C528" s="38" t="s">
        <v>68</v>
      </c>
      <c r="D528" s="39">
        <v>0</v>
      </c>
      <c r="E528" s="39">
        <v>9</v>
      </c>
      <c r="F528" s="18">
        <f t="shared" si="16"/>
        <v>9</v>
      </c>
      <c r="G528" s="18">
        <f t="shared" si="17"/>
        <v>0</v>
      </c>
    </row>
    <row r="529" spans="1:7" x14ac:dyDescent="0.35">
      <c r="A529" s="21">
        <v>12</v>
      </c>
      <c r="B529" s="38" t="s">
        <v>126</v>
      </c>
      <c r="C529" s="38" t="s">
        <v>68</v>
      </c>
      <c r="D529" s="39">
        <v>0</v>
      </c>
      <c r="E529" s="39">
        <v>0</v>
      </c>
      <c r="F529" s="18">
        <f t="shared" si="16"/>
        <v>0</v>
      </c>
      <c r="G529" s="18">
        <f t="shared" si="17"/>
        <v>0</v>
      </c>
    </row>
    <row r="530" spans="1:7" x14ac:dyDescent="0.35">
      <c r="A530" s="21">
        <v>1</v>
      </c>
      <c r="B530" s="38" t="s">
        <v>128</v>
      </c>
      <c r="C530" s="38" t="s">
        <v>62</v>
      </c>
      <c r="D530" s="39">
        <v>100</v>
      </c>
      <c r="E530" s="39">
        <v>34</v>
      </c>
      <c r="F530" s="18">
        <f t="shared" si="16"/>
        <v>0</v>
      </c>
      <c r="G530" s="18">
        <f t="shared" si="17"/>
        <v>66</v>
      </c>
    </row>
    <row r="531" spans="1:7" x14ac:dyDescent="0.35">
      <c r="A531" s="21">
        <v>2</v>
      </c>
      <c r="B531" s="38" t="s">
        <v>128</v>
      </c>
      <c r="C531" s="38" t="s">
        <v>62</v>
      </c>
      <c r="D531" s="39">
        <v>0</v>
      </c>
      <c r="E531" s="39">
        <v>20</v>
      </c>
      <c r="F531" s="18">
        <f t="shared" si="16"/>
        <v>66</v>
      </c>
      <c r="G531" s="18">
        <f t="shared" si="17"/>
        <v>46</v>
      </c>
    </row>
    <row r="532" spans="1:7" x14ac:dyDescent="0.35">
      <c r="A532" s="21">
        <v>3</v>
      </c>
      <c r="B532" s="38" t="s">
        <v>128</v>
      </c>
      <c r="C532" s="38" t="s">
        <v>62</v>
      </c>
      <c r="D532" s="39">
        <v>0</v>
      </c>
      <c r="E532" s="39">
        <v>19</v>
      </c>
      <c r="F532" s="18">
        <f t="shared" si="16"/>
        <v>46</v>
      </c>
      <c r="G532" s="18">
        <f t="shared" si="17"/>
        <v>27</v>
      </c>
    </row>
    <row r="533" spans="1:7" x14ac:dyDescent="0.35">
      <c r="A533" s="21">
        <v>4</v>
      </c>
      <c r="B533" s="38" t="s">
        <v>128</v>
      </c>
      <c r="C533" s="38" t="s">
        <v>62</v>
      </c>
      <c r="D533" s="39">
        <v>0</v>
      </c>
      <c r="E533" s="39">
        <v>20</v>
      </c>
      <c r="F533" s="18">
        <f t="shared" si="16"/>
        <v>27</v>
      </c>
      <c r="G533" s="18">
        <f t="shared" si="17"/>
        <v>7</v>
      </c>
    </row>
    <row r="534" spans="1:7" x14ac:dyDescent="0.35">
      <c r="A534" s="21">
        <v>5</v>
      </c>
      <c r="B534" s="38" t="s">
        <v>128</v>
      </c>
      <c r="C534" s="38" t="s">
        <v>62</v>
      </c>
      <c r="D534" s="39">
        <v>0</v>
      </c>
      <c r="E534" s="39">
        <v>7</v>
      </c>
      <c r="F534" s="18">
        <f t="shared" si="16"/>
        <v>7</v>
      </c>
      <c r="G534" s="18">
        <f t="shared" si="17"/>
        <v>0</v>
      </c>
    </row>
    <row r="535" spans="1:7" x14ac:dyDescent="0.35">
      <c r="A535" s="21">
        <v>6</v>
      </c>
      <c r="B535" s="38" t="s">
        <v>128</v>
      </c>
      <c r="C535" s="38" t="s">
        <v>62</v>
      </c>
      <c r="D535" s="39">
        <v>0</v>
      </c>
      <c r="E535" s="39">
        <v>0</v>
      </c>
      <c r="F535" s="18">
        <f t="shared" si="16"/>
        <v>0</v>
      </c>
      <c r="G535" s="18">
        <f t="shared" si="17"/>
        <v>0</v>
      </c>
    </row>
    <row r="536" spans="1:7" x14ac:dyDescent="0.35">
      <c r="A536" s="21">
        <v>7</v>
      </c>
      <c r="B536" s="38" t="s">
        <v>128</v>
      </c>
      <c r="C536" s="38" t="s">
        <v>62</v>
      </c>
      <c r="D536" s="39">
        <v>0</v>
      </c>
      <c r="E536" s="39">
        <v>0</v>
      </c>
      <c r="F536" s="18">
        <f t="shared" si="16"/>
        <v>0</v>
      </c>
      <c r="G536" s="18">
        <f t="shared" si="17"/>
        <v>0</v>
      </c>
    </row>
    <row r="537" spans="1:7" x14ac:dyDescent="0.35">
      <c r="A537" s="21">
        <v>8</v>
      </c>
      <c r="B537" s="38" t="s">
        <v>128</v>
      </c>
      <c r="C537" s="38" t="s">
        <v>62</v>
      </c>
      <c r="D537" s="39">
        <v>0</v>
      </c>
      <c r="E537" s="39">
        <v>0</v>
      </c>
      <c r="F537" s="18">
        <f t="shared" si="16"/>
        <v>0</v>
      </c>
      <c r="G537" s="18">
        <f t="shared" si="17"/>
        <v>0</v>
      </c>
    </row>
    <row r="538" spans="1:7" x14ac:dyDescent="0.35">
      <c r="A538" s="21">
        <v>9</v>
      </c>
      <c r="B538" s="38" t="s">
        <v>128</v>
      </c>
      <c r="C538" s="38" t="s">
        <v>62</v>
      </c>
      <c r="D538" s="39">
        <v>0</v>
      </c>
      <c r="E538" s="39">
        <v>0</v>
      </c>
      <c r="F538" s="18">
        <f t="shared" si="16"/>
        <v>0</v>
      </c>
      <c r="G538" s="18">
        <f t="shared" si="17"/>
        <v>0</v>
      </c>
    </row>
    <row r="539" spans="1:7" x14ac:dyDescent="0.35">
      <c r="A539" s="21">
        <v>10</v>
      </c>
      <c r="B539" s="38" t="s">
        <v>128</v>
      </c>
      <c r="C539" s="38" t="s">
        <v>62</v>
      </c>
      <c r="D539" s="39">
        <v>0</v>
      </c>
      <c r="E539" s="39">
        <v>0</v>
      </c>
      <c r="F539" s="18">
        <f t="shared" si="16"/>
        <v>0</v>
      </c>
      <c r="G539" s="18">
        <f t="shared" si="17"/>
        <v>0</v>
      </c>
    </row>
    <row r="540" spans="1:7" x14ac:dyDescent="0.35">
      <c r="A540" s="21">
        <v>11</v>
      </c>
      <c r="B540" s="38" t="s">
        <v>128</v>
      </c>
      <c r="C540" s="38" t="s">
        <v>62</v>
      </c>
      <c r="D540" s="39">
        <v>0</v>
      </c>
      <c r="E540" s="39">
        <v>0</v>
      </c>
      <c r="F540" s="18">
        <f t="shared" si="16"/>
        <v>0</v>
      </c>
      <c r="G540" s="18">
        <f t="shared" si="17"/>
        <v>0</v>
      </c>
    </row>
    <row r="541" spans="1:7" x14ac:dyDescent="0.35">
      <c r="A541" s="21">
        <v>12</v>
      </c>
      <c r="B541" s="38" t="s">
        <v>128</v>
      </c>
      <c r="C541" s="38" t="s">
        <v>62</v>
      </c>
      <c r="D541" s="39">
        <v>0</v>
      </c>
      <c r="E541" s="39">
        <v>0</v>
      </c>
      <c r="F541" s="18">
        <f t="shared" si="16"/>
        <v>0</v>
      </c>
      <c r="G541" s="18">
        <f t="shared" si="17"/>
        <v>0</v>
      </c>
    </row>
    <row r="542" spans="1:7" x14ac:dyDescent="0.35">
      <c r="A542" s="21">
        <v>1</v>
      </c>
      <c r="B542" s="38" t="s">
        <v>128</v>
      </c>
      <c r="C542" s="38" t="s">
        <v>64</v>
      </c>
      <c r="D542" s="39">
        <v>127</v>
      </c>
      <c r="E542" s="39">
        <v>41</v>
      </c>
      <c r="F542" s="18">
        <f t="shared" si="16"/>
        <v>0</v>
      </c>
      <c r="G542" s="18">
        <f t="shared" si="17"/>
        <v>86</v>
      </c>
    </row>
    <row r="543" spans="1:7" x14ac:dyDescent="0.35">
      <c r="A543" s="21">
        <v>2</v>
      </c>
      <c r="B543" s="38" t="s">
        <v>128</v>
      </c>
      <c r="C543" s="38" t="s">
        <v>64</v>
      </c>
      <c r="D543" s="39">
        <v>0</v>
      </c>
      <c r="E543" s="39">
        <v>29</v>
      </c>
      <c r="F543" s="18">
        <f t="shared" si="16"/>
        <v>86</v>
      </c>
      <c r="G543" s="18">
        <f t="shared" si="17"/>
        <v>57</v>
      </c>
    </row>
    <row r="544" spans="1:7" x14ac:dyDescent="0.35">
      <c r="A544" s="21">
        <v>3</v>
      </c>
      <c r="B544" s="38" t="s">
        <v>128</v>
      </c>
      <c r="C544" s="38" t="s">
        <v>64</v>
      </c>
      <c r="D544" s="39">
        <v>0</v>
      </c>
      <c r="E544" s="39">
        <v>20</v>
      </c>
      <c r="F544" s="18">
        <f t="shared" si="16"/>
        <v>57</v>
      </c>
      <c r="G544" s="18">
        <f t="shared" si="17"/>
        <v>37</v>
      </c>
    </row>
    <row r="545" spans="1:7" x14ac:dyDescent="0.35">
      <c r="A545" s="21">
        <v>4</v>
      </c>
      <c r="B545" s="38" t="s">
        <v>128</v>
      </c>
      <c r="C545" s="38" t="s">
        <v>64</v>
      </c>
      <c r="D545" s="39">
        <v>0</v>
      </c>
      <c r="E545" s="39">
        <v>27</v>
      </c>
      <c r="F545" s="18">
        <f t="shared" si="16"/>
        <v>37</v>
      </c>
      <c r="G545" s="18">
        <f t="shared" si="17"/>
        <v>10</v>
      </c>
    </row>
    <row r="546" spans="1:7" x14ac:dyDescent="0.35">
      <c r="A546" s="21">
        <v>5</v>
      </c>
      <c r="B546" s="38" t="s">
        <v>128</v>
      </c>
      <c r="C546" s="38" t="s">
        <v>64</v>
      </c>
      <c r="D546" s="39">
        <v>0</v>
      </c>
      <c r="E546" s="39">
        <v>10</v>
      </c>
      <c r="F546" s="18">
        <f t="shared" si="16"/>
        <v>10</v>
      </c>
      <c r="G546" s="18">
        <f t="shared" si="17"/>
        <v>0</v>
      </c>
    </row>
    <row r="547" spans="1:7" x14ac:dyDescent="0.35">
      <c r="A547" s="21">
        <v>6</v>
      </c>
      <c r="B547" s="38" t="s">
        <v>128</v>
      </c>
      <c r="C547" s="38" t="s">
        <v>64</v>
      </c>
      <c r="D547" s="39">
        <v>0</v>
      </c>
      <c r="E547" s="39">
        <v>0</v>
      </c>
      <c r="F547" s="18">
        <f t="shared" si="16"/>
        <v>0</v>
      </c>
      <c r="G547" s="18">
        <f t="shared" si="17"/>
        <v>0</v>
      </c>
    </row>
    <row r="548" spans="1:7" x14ac:dyDescent="0.35">
      <c r="A548" s="21">
        <v>7</v>
      </c>
      <c r="B548" s="38" t="s">
        <v>128</v>
      </c>
      <c r="C548" s="38" t="s">
        <v>64</v>
      </c>
      <c r="D548" s="39">
        <v>0</v>
      </c>
      <c r="E548" s="39">
        <v>0</v>
      </c>
      <c r="F548" s="18">
        <f t="shared" si="16"/>
        <v>0</v>
      </c>
      <c r="G548" s="18">
        <f t="shared" si="17"/>
        <v>0</v>
      </c>
    </row>
    <row r="549" spans="1:7" x14ac:dyDescent="0.35">
      <c r="A549" s="21">
        <v>8</v>
      </c>
      <c r="B549" s="38" t="s">
        <v>128</v>
      </c>
      <c r="C549" s="38" t="s">
        <v>64</v>
      </c>
      <c r="D549" s="39">
        <v>0</v>
      </c>
      <c r="E549" s="39">
        <v>0</v>
      </c>
      <c r="F549" s="18">
        <f t="shared" si="16"/>
        <v>0</v>
      </c>
      <c r="G549" s="18">
        <f t="shared" si="17"/>
        <v>0</v>
      </c>
    </row>
    <row r="550" spans="1:7" x14ac:dyDescent="0.35">
      <c r="A550" s="21">
        <v>9</v>
      </c>
      <c r="B550" s="38" t="s">
        <v>128</v>
      </c>
      <c r="C550" s="38" t="s">
        <v>64</v>
      </c>
      <c r="D550" s="39">
        <v>0</v>
      </c>
      <c r="E550" s="39">
        <v>0</v>
      </c>
      <c r="F550" s="18">
        <f t="shared" si="16"/>
        <v>0</v>
      </c>
      <c r="G550" s="18">
        <f t="shared" si="17"/>
        <v>0</v>
      </c>
    </row>
    <row r="551" spans="1:7" x14ac:dyDescent="0.35">
      <c r="A551" s="21">
        <v>10</v>
      </c>
      <c r="B551" s="38" t="s">
        <v>128</v>
      </c>
      <c r="C551" s="38" t="s">
        <v>64</v>
      </c>
      <c r="D551" s="39">
        <v>0</v>
      </c>
      <c r="E551" s="39">
        <v>0</v>
      </c>
      <c r="F551" s="18">
        <f t="shared" si="16"/>
        <v>0</v>
      </c>
      <c r="G551" s="18">
        <f t="shared" si="17"/>
        <v>0</v>
      </c>
    </row>
    <row r="552" spans="1:7" x14ac:dyDescent="0.35">
      <c r="A552" s="21">
        <v>11</v>
      </c>
      <c r="B552" s="38" t="s">
        <v>128</v>
      </c>
      <c r="C552" s="38" t="s">
        <v>64</v>
      </c>
      <c r="D552" s="39">
        <v>0</v>
      </c>
      <c r="E552" s="39">
        <v>0</v>
      </c>
      <c r="F552" s="18">
        <f t="shared" si="16"/>
        <v>0</v>
      </c>
      <c r="G552" s="18">
        <f t="shared" si="17"/>
        <v>0</v>
      </c>
    </row>
    <row r="553" spans="1:7" x14ac:dyDescent="0.35">
      <c r="A553" s="21">
        <v>12</v>
      </c>
      <c r="B553" s="38" t="s">
        <v>128</v>
      </c>
      <c r="C553" s="38" t="s">
        <v>64</v>
      </c>
      <c r="D553" s="39">
        <v>0</v>
      </c>
      <c r="E553" s="39">
        <v>0</v>
      </c>
      <c r="F553" s="18">
        <f t="shared" si="16"/>
        <v>0</v>
      </c>
      <c r="G553" s="18">
        <f t="shared" si="17"/>
        <v>0</v>
      </c>
    </row>
    <row r="554" spans="1:7" x14ac:dyDescent="0.35">
      <c r="A554" s="21">
        <v>1</v>
      </c>
      <c r="B554" s="38" t="s">
        <v>128</v>
      </c>
      <c r="C554" s="38" t="s">
        <v>66</v>
      </c>
      <c r="D554" s="39">
        <v>82</v>
      </c>
      <c r="E554" s="39">
        <v>30</v>
      </c>
      <c r="F554" s="18">
        <f t="shared" si="16"/>
        <v>0</v>
      </c>
      <c r="G554" s="18">
        <f t="shared" si="17"/>
        <v>52</v>
      </c>
    </row>
    <row r="555" spans="1:7" x14ac:dyDescent="0.35">
      <c r="A555" s="21">
        <v>2</v>
      </c>
      <c r="B555" s="38" t="s">
        <v>128</v>
      </c>
      <c r="C555" s="38" t="s">
        <v>66</v>
      </c>
      <c r="D555" s="39">
        <v>0</v>
      </c>
      <c r="E555" s="39">
        <v>16</v>
      </c>
      <c r="F555" s="18">
        <f t="shared" si="16"/>
        <v>52</v>
      </c>
      <c r="G555" s="18">
        <f t="shared" si="17"/>
        <v>36</v>
      </c>
    </row>
    <row r="556" spans="1:7" x14ac:dyDescent="0.35">
      <c r="A556" s="21">
        <v>3</v>
      </c>
      <c r="B556" s="38" t="s">
        <v>128</v>
      </c>
      <c r="C556" s="38" t="s">
        <v>66</v>
      </c>
      <c r="D556" s="39">
        <v>0</v>
      </c>
      <c r="E556" s="39">
        <v>15</v>
      </c>
      <c r="F556" s="18">
        <f t="shared" si="16"/>
        <v>36</v>
      </c>
      <c r="G556" s="18">
        <f t="shared" si="17"/>
        <v>21</v>
      </c>
    </row>
    <row r="557" spans="1:7" x14ac:dyDescent="0.35">
      <c r="A557" s="21">
        <v>4</v>
      </c>
      <c r="B557" s="38" t="s">
        <v>128</v>
      </c>
      <c r="C557" s="38" t="s">
        <v>66</v>
      </c>
      <c r="D557" s="39">
        <v>0</v>
      </c>
      <c r="E557" s="39">
        <v>15</v>
      </c>
      <c r="F557" s="18">
        <f t="shared" si="16"/>
        <v>21</v>
      </c>
      <c r="G557" s="18">
        <f t="shared" si="17"/>
        <v>6</v>
      </c>
    </row>
    <row r="558" spans="1:7" x14ac:dyDescent="0.35">
      <c r="A558" s="21">
        <v>5</v>
      </c>
      <c r="B558" s="38" t="s">
        <v>128</v>
      </c>
      <c r="C558" s="38" t="s">
        <v>66</v>
      </c>
      <c r="D558" s="39">
        <v>0</v>
      </c>
      <c r="E558" s="39">
        <v>6</v>
      </c>
      <c r="F558" s="18">
        <f t="shared" si="16"/>
        <v>6</v>
      </c>
      <c r="G558" s="18">
        <f t="shared" si="17"/>
        <v>0</v>
      </c>
    </row>
    <row r="559" spans="1:7" x14ac:dyDescent="0.35">
      <c r="A559" s="21">
        <v>6</v>
      </c>
      <c r="B559" s="38" t="s">
        <v>128</v>
      </c>
      <c r="C559" s="38" t="s">
        <v>66</v>
      </c>
      <c r="D559" s="39">
        <v>0</v>
      </c>
      <c r="E559" s="39">
        <v>0</v>
      </c>
      <c r="F559" s="18">
        <f t="shared" si="16"/>
        <v>0</v>
      </c>
      <c r="G559" s="18">
        <f t="shared" si="17"/>
        <v>0</v>
      </c>
    </row>
    <row r="560" spans="1:7" x14ac:dyDescent="0.35">
      <c r="A560" s="21">
        <v>7</v>
      </c>
      <c r="B560" s="38" t="s">
        <v>128</v>
      </c>
      <c r="C560" s="38" t="s">
        <v>66</v>
      </c>
      <c r="D560" s="39">
        <v>0</v>
      </c>
      <c r="E560" s="39">
        <v>0</v>
      </c>
      <c r="F560" s="18">
        <f t="shared" si="16"/>
        <v>0</v>
      </c>
      <c r="G560" s="18">
        <f t="shared" si="17"/>
        <v>0</v>
      </c>
    </row>
    <row r="561" spans="1:7" x14ac:dyDescent="0.35">
      <c r="A561" s="21">
        <v>8</v>
      </c>
      <c r="B561" s="38" t="s">
        <v>128</v>
      </c>
      <c r="C561" s="38" t="s">
        <v>66</v>
      </c>
      <c r="D561" s="39">
        <v>0</v>
      </c>
      <c r="E561" s="39">
        <v>0</v>
      </c>
      <c r="F561" s="18">
        <f t="shared" si="16"/>
        <v>0</v>
      </c>
      <c r="G561" s="18">
        <f t="shared" si="17"/>
        <v>0</v>
      </c>
    </row>
    <row r="562" spans="1:7" x14ac:dyDescent="0.35">
      <c r="A562" s="21">
        <v>9</v>
      </c>
      <c r="B562" s="38" t="s">
        <v>128</v>
      </c>
      <c r="C562" s="38" t="s">
        <v>66</v>
      </c>
      <c r="D562" s="39">
        <v>0</v>
      </c>
      <c r="E562" s="39">
        <v>0</v>
      </c>
      <c r="F562" s="18">
        <f t="shared" si="16"/>
        <v>0</v>
      </c>
      <c r="G562" s="18">
        <f t="shared" si="17"/>
        <v>0</v>
      </c>
    </row>
    <row r="563" spans="1:7" x14ac:dyDescent="0.35">
      <c r="A563" s="21">
        <v>10</v>
      </c>
      <c r="B563" s="38" t="s">
        <v>128</v>
      </c>
      <c r="C563" s="38" t="s">
        <v>66</v>
      </c>
      <c r="D563" s="39">
        <v>0</v>
      </c>
      <c r="E563" s="39">
        <v>0</v>
      </c>
      <c r="F563" s="18">
        <f t="shared" si="16"/>
        <v>0</v>
      </c>
      <c r="G563" s="18">
        <f t="shared" si="17"/>
        <v>0</v>
      </c>
    </row>
    <row r="564" spans="1:7" x14ac:dyDescent="0.35">
      <c r="A564" s="21">
        <v>11</v>
      </c>
      <c r="B564" s="38" t="s">
        <v>128</v>
      </c>
      <c r="C564" s="38" t="s">
        <v>66</v>
      </c>
      <c r="D564" s="39">
        <v>0</v>
      </c>
      <c r="E564" s="39">
        <v>0</v>
      </c>
      <c r="F564" s="18">
        <f t="shared" si="16"/>
        <v>0</v>
      </c>
      <c r="G564" s="18">
        <f t="shared" si="17"/>
        <v>0</v>
      </c>
    </row>
    <row r="565" spans="1:7" x14ac:dyDescent="0.35">
      <c r="A565" s="21">
        <v>12</v>
      </c>
      <c r="B565" s="38" t="s">
        <v>128</v>
      </c>
      <c r="C565" s="38" t="s">
        <v>66</v>
      </c>
      <c r="D565" s="39">
        <v>0</v>
      </c>
      <c r="E565" s="39">
        <v>0</v>
      </c>
      <c r="F565" s="18">
        <f t="shared" si="16"/>
        <v>0</v>
      </c>
      <c r="G565" s="18">
        <f t="shared" si="17"/>
        <v>0</v>
      </c>
    </row>
    <row r="566" spans="1:7" x14ac:dyDescent="0.35">
      <c r="A566" s="21">
        <v>1</v>
      </c>
      <c r="B566" s="38" t="s">
        <v>128</v>
      </c>
      <c r="C566" s="38" t="s">
        <v>68</v>
      </c>
      <c r="D566" s="39">
        <v>127</v>
      </c>
      <c r="E566" s="39">
        <v>41</v>
      </c>
      <c r="F566" s="18">
        <f t="shared" si="16"/>
        <v>0</v>
      </c>
      <c r="G566" s="18">
        <f t="shared" si="17"/>
        <v>86</v>
      </c>
    </row>
    <row r="567" spans="1:7" x14ac:dyDescent="0.35">
      <c r="A567" s="21">
        <v>2</v>
      </c>
      <c r="B567" s="38" t="s">
        <v>128</v>
      </c>
      <c r="C567" s="38" t="s">
        <v>68</v>
      </c>
      <c r="D567" s="39">
        <v>0</v>
      </c>
      <c r="E567" s="39">
        <v>30</v>
      </c>
      <c r="F567" s="18">
        <f t="shared" si="16"/>
        <v>86</v>
      </c>
      <c r="G567" s="18">
        <f t="shared" si="17"/>
        <v>56</v>
      </c>
    </row>
    <row r="568" spans="1:7" x14ac:dyDescent="0.35">
      <c r="A568" s="21">
        <v>3</v>
      </c>
      <c r="B568" s="38" t="s">
        <v>128</v>
      </c>
      <c r="C568" s="38" t="s">
        <v>68</v>
      </c>
      <c r="D568" s="39">
        <v>0</v>
      </c>
      <c r="E568" s="39">
        <v>27</v>
      </c>
      <c r="F568" s="18">
        <f t="shared" si="16"/>
        <v>56</v>
      </c>
      <c r="G568" s="18">
        <f t="shared" si="17"/>
        <v>29</v>
      </c>
    </row>
    <row r="569" spans="1:7" x14ac:dyDescent="0.35">
      <c r="A569" s="21">
        <v>4</v>
      </c>
      <c r="B569" s="38" t="s">
        <v>128</v>
      </c>
      <c r="C569" s="38" t="s">
        <v>68</v>
      </c>
      <c r="D569" s="39">
        <v>0</v>
      </c>
      <c r="E569" s="39">
        <v>23</v>
      </c>
      <c r="F569" s="18">
        <f t="shared" si="16"/>
        <v>29</v>
      </c>
      <c r="G569" s="18">
        <f t="shared" si="17"/>
        <v>6</v>
      </c>
    </row>
    <row r="570" spans="1:7" x14ac:dyDescent="0.35">
      <c r="A570" s="21">
        <v>5</v>
      </c>
      <c r="B570" s="38" t="s">
        <v>128</v>
      </c>
      <c r="C570" s="38" t="s">
        <v>68</v>
      </c>
      <c r="D570" s="39">
        <v>0</v>
      </c>
      <c r="E570" s="39">
        <v>6</v>
      </c>
      <c r="F570" s="18">
        <f t="shared" si="16"/>
        <v>6</v>
      </c>
      <c r="G570" s="18">
        <f t="shared" si="17"/>
        <v>0</v>
      </c>
    </row>
    <row r="571" spans="1:7" x14ac:dyDescent="0.35">
      <c r="A571" s="21">
        <v>6</v>
      </c>
      <c r="B571" s="38" t="s">
        <v>128</v>
      </c>
      <c r="C571" s="38" t="s">
        <v>68</v>
      </c>
      <c r="D571" s="39">
        <v>0</v>
      </c>
      <c r="E571" s="39">
        <v>0</v>
      </c>
      <c r="F571" s="18">
        <f t="shared" si="16"/>
        <v>0</v>
      </c>
      <c r="G571" s="18">
        <f t="shared" si="17"/>
        <v>0</v>
      </c>
    </row>
    <row r="572" spans="1:7" x14ac:dyDescent="0.35">
      <c r="A572" s="21">
        <v>7</v>
      </c>
      <c r="B572" s="38" t="s">
        <v>128</v>
      </c>
      <c r="C572" s="38" t="s">
        <v>68</v>
      </c>
      <c r="D572" s="39">
        <v>0</v>
      </c>
      <c r="E572" s="39">
        <v>0</v>
      </c>
      <c r="F572" s="18">
        <f t="shared" si="16"/>
        <v>0</v>
      </c>
      <c r="G572" s="18">
        <f t="shared" si="17"/>
        <v>0</v>
      </c>
    </row>
    <row r="573" spans="1:7" x14ac:dyDescent="0.35">
      <c r="A573" s="21">
        <v>8</v>
      </c>
      <c r="B573" s="38" t="s">
        <v>128</v>
      </c>
      <c r="C573" s="38" t="s">
        <v>68</v>
      </c>
      <c r="D573" s="39">
        <v>0</v>
      </c>
      <c r="E573" s="39">
        <v>0</v>
      </c>
      <c r="F573" s="18">
        <f t="shared" si="16"/>
        <v>0</v>
      </c>
      <c r="G573" s="18">
        <f t="shared" si="17"/>
        <v>0</v>
      </c>
    </row>
    <row r="574" spans="1:7" x14ac:dyDescent="0.35">
      <c r="A574" s="21">
        <v>9</v>
      </c>
      <c r="B574" s="38" t="s">
        <v>128</v>
      </c>
      <c r="C574" s="38" t="s">
        <v>68</v>
      </c>
      <c r="D574" s="39">
        <v>0</v>
      </c>
      <c r="E574" s="39">
        <v>0</v>
      </c>
      <c r="F574" s="18">
        <f t="shared" si="16"/>
        <v>0</v>
      </c>
      <c r="G574" s="18">
        <f t="shared" si="17"/>
        <v>0</v>
      </c>
    </row>
    <row r="575" spans="1:7" x14ac:dyDescent="0.35">
      <c r="A575" s="21">
        <v>10</v>
      </c>
      <c r="B575" s="38" t="s">
        <v>128</v>
      </c>
      <c r="C575" s="38" t="s">
        <v>68</v>
      </c>
      <c r="D575" s="39">
        <v>0</v>
      </c>
      <c r="E575" s="39">
        <v>0</v>
      </c>
      <c r="F575" s="18">
        <f t="shared" si="16"/>
        <v>0</v>
      </c>
      <c r="G575" s="18">
        <f t="shared" si="17"/>
        <v>0</v>
      </c>
    </row>
    <row r="576" spans="1:7" x14ac:dyDescent="0.35">
      <c r="A576" s="21">
        <v>11</v>
      </c>
      <c r="B576" s="38" t="s">
        <v>128</v>
      </c>
      <c r="C576" s="38" t="s">
        <v>68</v>
      </c>
      <c r="D576" s="39">
        <v>0</v>
      </c>
      <c r="E576" s="39">
        <v>0</v>
      </c>
      <c r="F576" s="18">
        <f t="shared" si="16"/>
        <v>0</v>
      </c>
      <c r="G576" s="18">
        <f t="shared" si="17"/>
        <v>0</v>
      </c>
    </row>
    <row r="577" spans="1:7" x14ac:dyDescent="0.35">
      <c r="A577" s="21">
        <v>12</v>
      </c>
      <c r="B577" s="38" t="s">
        <v>128</v>
      </c>
      <c r="C577" s="38" t="s">
        <v>68</v>
      </c>
      <c r="D577" s="39">
        <v>0</v>
      </c>
      <c r="E577" s="39">
        <v>0</v>
      </c>
      <c r="F577" s="18">
        <f t="shared" si="16"/>
        <v>0</v>
      </c>
      <c r="G577" s="18">
        <f t="shared" si="17"/>
        <v>0</v>
      </c>
    </row>
    <row r="578" spans="1:7" x14ac:dyDescent="0.35">
      <c r="A578" s="21">
        <v>1</v>
      </c>
      <c r="B578" s="38" t="s">
        <v>133</v>
      </c>
      <c r="C578" s="38" t="s">
        <v>62</v>
      </c>
      <c r="D578" s="39">
        <v>142</v>
      </c>
      <c r="E578" s="39">
        <v>55</v>
      </c>
      <c r="F578" s="18">
        <f t="shared" ref="F578:F641" si="18">IF(A578=1,0,G577)</f>
        <v>0</v>
      </c>
      <c r="G578" s="18">
        <f t="shared" ref="G578:G641" si="19">F578+D578-E578</f>
        <v>87</v>
      </c>
    </row>
    <row r="579" spans="1:7" x14ac:dyDescent="0.35">
      <c r="A579" s="21">
        <v>2</v>
      </c>
      <c r="B579" s="38" t="s">
        <v>133</v>
      </c>
      <c r="C579" s="38" t="s">
        <v>62</v>
      </c>
      <c r="D579" s="39">
        <v>0</v>
      </c>
      <c r="E579" s="39">
        <v>27</v>
      </c>
      <c r="F579" s="18">
        <f t="shared" si="18"/>
        <v>87</v>
      </c>
      <c r="G579" s="18">
        <f t="shared" si="19"/>
        <v>60</v>
      </c>
    </row>
    <row r="580" spans="1:7" x14ac:dyDescent="0.35">
      <c r="A580" s="21">
        <v>3</v>
      </c>
      <c r="B580" s="38" t="s">
        <v>133</v>
      </c>
      <c r="C580" s="38" t="s">
        <v>62</v>
      </c>
      <c r="D580" s="39">
        <v>0</v>
      </c>
      <c r="E580" s="39">
        <v>31</v>
      </c>
      <c r="F580" s="18">
        <f t="shared" si="18"/>
        <v>60</v>
      </c>
      <c r="G580" s="18">
        <f t="shared" si="19"/>
        <v>29</v>
      </c>
    </row>
    <row r="581" spans="1:7" x14ac:dyDescent="0.35">
      <c r="A581" s="21">
        <v>4</v>
      </c>
      <c r="B581" s="38" t="s">
        <v>133</v>
      </c>
      <c r="C581" s="38" t="s">
        <v>62</v>
      </c>
      <c r="D581" s="39">
        <v>0</v>
      </c>
      <c r="E581" s="39">
        <v>20</v>
      </c>
      <c r="F581" s="18">
        <f t="shared" si="18"/>
        <v>29</v>
      </c>
      <c r="G581" s="18">
        <f t="shared" si="19"/>
        <v>9</v>
      </c>
    </row>
    <row r="582" spans="1:7" x14ac:dyDescent="0.35">
      <c r="A582" s="21">
        <v>5</v>
      </c>
      <c r="B582" s="38" t="s">
        <v>133</v>
      </c>
      <c r="C582" s="38" t="s">
        <v>62</v>
      </c>
      <c r="D582" s="39">
        <v>0</v>
      </c>
      <c r="E582" s="39">
        <v>9</v>
      </c>
      <c r="F582" s="18">
        <f t="shared" si="18"/>
        <v>9</v>
      </c>
      <c r="G582" s="18">
        <f t="shared" si="19"/>
        <v>0</v>
      </c>
    </row>
    <row r="583" spans="1:7" x14ac:dyDescent="0.35">
      <c r="A583" s="21">
        <v>6</v>
      </c>
      <c r="B583" s="38" t="s">
        <v>133</v>
      </c>
      <c r="C583" s="38" t="s">
        <v>62</v>
      </c>
      <c r="D583" s="39">
        <v>0</v>
      </c>
      <c r="E583" s="39">
        <v>0</v>
      </c>
      <c r="F583" s="18">
        <f t="shared" si="18"/>
        <v>0</v>
      </c>
      <c r="G583" s="18">
        <f t="shared" si="19"/>
        <v>0</v>
      </c>
    </row>
    <row r="584" spans="1:7" x14ac:dyDescent="0.35">
      <c r="A584" s="21">
        <v>7</v>
      </c>
      <c r="B584" s="38" t="s">
        <v>133</v>
      </c>
      <c r="C584" s="38" t="s">
        <v>62</v>
      </c>
      <c r="D584" s="39">
        <v>0</v>
      </c>
      <c r="E584" s="39">
        <v>0</v>
      </c>
      <c r="F584" s="18">
        <f t="shared" si="18"/>
        <v>0</v>
      </c>
      <c r="G584" s="18">
        <f t="shared" si="19"/>
        <v>0</v>
      </c>
    </row>
    <row r="585" spans="1:7" x14ac:dyDescent="0.35">
      <c r="A585" s="21">
        <v>8</v>
      </c>
      <c r="B585" s="38" t="s">
        <v>133</v>
      </c>
      <c r="C585" s="38" t="s">
        <v>62</v>
      </c>
      <c r="D585" s="39">
        <v>0</v>
      </c>
      <c r="E585" s="39">
        <v>0</v>
      </c>
      <c r="F585" s="18">
        <f t="shared" si="18"/>
        <v>0</v>
      </c>
      <c r="G585" s="18">
        <f t="shared" si="19"/>
        <v>0</v>
      </c>
    </row>
    <row r="586" spans="1:7" x14ac:dyDescent="0.35">
      <c r="A586" s="21">
        <v>9</v>
      </c>
      <c r="B586" s="38" t="s">
        <v>133</v>
      </c>
      <c r="C586" s="38" t="s">
        <v>62</v>
      </c>
      <c r="D586" s="39">
        <v>0</v>
      </c>
      <c r="E586" s="39">
        <v>0</v>
      </c>
      <c r="F586" s="18">
        <f t="shared" si="18"/>
        <v>0</v>
      </c>
      <c r="G586" s="18">
        <f t="shared" si="19"/>
        <v>0</v>
      </c>
    </row>
    <row r="587" spans="1:7" x14ac:dyDescent="0.35">
      <c r="A587" s="21">
        <v>10</v>
      </c>
      <c r="B587" s="38" t="s">
        <v>133</v>
      </c>
      <c r="C587" s="38" t="s">
        <v>62</v>
      </c>
      <c r="D587" s="39">
        <v>0</v>
      </c>
      <c r="E587" s="39">
        <v>0</v>
      </c>
      <c r="F587" s="18">
        <f t="shared" si="18"/>
        <v>0</v>
      </c>
      <c r="G587" s="18">
        <f t="shared" si="19"/>
        <v>0</v>
      </c>
    </row>
    <row r="588" spans="1:7" x14ac:dyDescent="0.35">
      <c r="A588" s="21">
        <v>11</v>
      </c>
      <c r="B588" s="38" t="s">
        <v>133</v>
      </c>
      <c r="C588" s="38" t="s">
        <v>62</v>
      </c>
      <c r="D588" s="39">
        <v>0</v>
      </c>
      <c r="E588" s="39">
        <v>0</v>
      </c>
      <c r="F588" s="18">
        <f t="shared" si="18"/>
        <v>0</v>
      </c>
      <c r="G588" s="18">
        <f t="shared" si="19"/>
        <v>0</v>
      </c>
    </row>
    <row r="589" spans="1:7" x14ac:dyDescent="0.35">
      <c r="A589" s="21">
        <v>12</v>
      </c>
      <c r="B589" s="38" t="s">
        <v>133</v>
      </c>
      <c r="C589" s="38" t="s">
        <v>62</v>
      </c>
      <c r="D589" s="39">
        <v>0</v>
      </c>
      <c r="E589" s="39">
        <v>0</v>
      </c>
      <c r="F589" s="18">
        <f t="shared" si="18"/>
        <v>0</v>
      </c>
      <c r="G589" s="18">
        <f t="shared" si="19"/>
        <v>0</v>
      </c>
    </row>
    <row r="590" spans="1:7" x14ac:dyDescent="0.35">
      <c r="A590" s="21">
        <v>1</v>
      </c>
      <c r="B590" s="38" t="s">
        <v>133</v>
      </c>
      <c r="C590" s="38" t="s">
        <v>64</v>
      </c>
      <c r="D590" s="39">
        <v>187</v>
      </c>
      <c r="E590" s="39">
        <v>77</v>
      </c>
      <c r="F590" s="18">
        <f t="shared" si="18"/>
        <v>0</v>
      </c>
      <c r="G590" s="18">
        <f t="shared" si="19"/>
        <v>110</v>
      </c>
    </row>
    <row r="591" spans="1:7" x14ac:dyDescent="0.35">
      <c r="A591" s="21">
        <v>2</v>
      </c>
      <c r="B591" s="38" t="s">
        <v>133</v>
      </c>
      <c r="C591" s="38" t="s">
        <v>64</v>
      </c>
      <c r="D591" s="39">
        <v>0</v>
      </c>
      <c r="E591" s="39">
        <v>61</v>
      </c>
      <c r="F591" s="18">
        <f t="shared" si="18"/>
        <v>110</v>
      </c>
      <c r="G591" s="18">
        <f t="shared" si="19"/>
        <v>49</v>
      </c>
    </row>
    <row r="592" spans="1:7" x14ac:dyDescent="0.35">
      <c r="A592" s="21">
        <v>3</v>
      </c>
      <c r="B592" s="38" t="s">
        <v>133</v>
      </c>
      <c r="C592" s="38" t="s">
        <v>64</v>
      </c>
      <c r="D592" s="39">
        <v>0</v>
      </c>
      <c r="E592" s="39">
        <v>32</v>
      </c>
      <c r="F592" s="18">
        <f t="shared" si="18"/>
        <v>49</v>
      </c>
      <c r="G592" s="18">
        <f t="shared" si="19"/>
        <v>17</v>
      </c>
    </row>
    <row r="593" spans="1:7" x14ac:dyDescent="0.35">
      <c r="A593" s="21">
        <v>4</v>
      </c>
      <c r="B593" s="38" t="s">
        <v>133</v>
      </c>
      <c r="C593" s="38" t="s">
        <v>64</v>
      </c>
      <c r="D593" s="39">
        <v>0</v>
      </c>
      <c r="E593" s="39">
        <v>17</v>
      </c>
      <c r="F593" s="18">
        <f t="shared" si="18"/>
        <v>17</v>
      </c>
      <c r="G593" s="18">
        <f t="shared" si="19"/>
        <v>0</v>
      </c>
    </row>
    <row r="594" spans="1:7" x14ac:dyDescent="0.35">
      <c r="A594" s="21">
        <v>5</v>
      </c>
      <c r="B594" s="38" t="s">
        <v>133</v>
      </c>
      <c r="C594" s="38" t="s">
        <v>64</v>
      </c>
      <c r="D594" s="39">
        <v>0</v>
      </c>
      <c r="E594" s="39">
        <v>0</v>
      </c>
      <c r="F594" s="18">
        <f t="shared" si="18"/>
        <v>0</v>
      </c>
      <c r="G594" s="18">
        <f t="shared" si="19"/>
        <v>0</v>
      </c>
    </row>
    <row r="595" spans="1:7" x14ac:dyDescent="0.35">
      <c r="A595" s="21">
        <v>6</v>
      </c>
      <c r="B595" s="38" t="s">
        <v>133</v>
      </c>
      <c r="C595" s="38" t="s">
        <v>64</v>
      </c>
      <c r="D595" s="39">
        <v>0</v>
      </c>
      <c r="E595" s="39">
        <v>0</v>
      </c>
      <c r="F595" s="18">
        <f t="shared" si="18"/>
        <v>0</v>
      </c>
      <c r="G595" s="18">
        <f t="shared" si="19"/>
        <v>0</v>
      </c>
    </row>
    <row r="596" spans="1:7" x14ac:dyDescent="0.35">
      <c r="A596" s="21">
        <v>7</v>
      </c>
      <c r="B596" s="38" t="s">
        <v>133</v>
      </c>
      <c r="C596" s="38" t="s">
        <v>64</v>
      </c>
      <c r="D596" s="39">
        <v>0</v>
      </c>
      <c r="E596" s="39">
        <v>0</v>
      </c>
      <c r="F596" s="18">
        <f t="shared" si="18"/>
        <v>0</v>
      </c>
      <c r="G596" s="18">
        <f t="shared" si="19"/>
        <v>0</v>
      </c>
    </row>
    <row r="597" spans="1:7" x14ac:dyDescent="0.35">
      <c r="A597" s="21">
        <v>8</v>
      </c>
      <c r="B597" s="38" t="s">
        <v>133</v>
      </c>
      <c r="C597" s="38" t="s">
        <v>64</v>
      </c>
      <c r="D597" s="39">
        <v>0</v>
      </c>
      <c r="E597" s="39">
        <v>0</v>
      </c>
      <c r="F597" s="18">
        <f t="shared" si="18"/>
        <v>0</v>
      </c>
      <c r="G597" s="18">
        <f t="shared" si="19"/>
        <v>0</v>
      </c>
    </row>
    <row r="598" spans="1:7" x14ac:dyDescent="0.35">
      <c r="A598" s="21">
        <v>9</v>
      </c>
      <c r="B598" s="38" t="s">
        <v>133</v>
      </c>
      <c r="C598" s="38" t="s">
        <v>64</v>
      </c>
      <c r="D598" s="39">
        <v>0</v>
      </c>
      <c r="E598" s="39">
        <v>0</v>
      </c>
      <c r="F598" s="18">
        <f t="shared" si="18"/>
        <v>0</v>
      </c>
      <c r="G598" s="18">
        <f t="shared" si="19"/>
        <v>0</v>
      </c>
    </row>
    <row r="599" spans="1:7" x14ac:dyDescent="0.35">
      <c r="A599" s="21">
        <v>10</v>
      </c>
      <c r="B599" s="38" t="s">
        <v>133</v>
      </c>
      <c r="C599" s="38" t="s">
        <v>64</v>
      </c>
      <c r="D599" s="39">
        <v>0</v>
      </c>
      <c r="E599" s="39">
        <v>0</v>
      </c>
      <c r="F599" s="18">
        <f t="shared" si="18"/>
        <v>0</v>
      </c>
      <c r="G599" s="18">
        <f t="shared" si="19"/>
        <v>0</v>
      </c>
    </row>
    <row r="600" spans="1:7" x14ac:dyDescent="0.35">
      <c r="A600" s="21">
        <v>11</v>
      </c>
      <c r="B600" s="38" t="s">
        <v>133</v>
      </c>
      <c r="C600" s="38" t="s">
        <v>64</v>
      </c>
      <c r="D600" s="39">
        <v>0</v>
      </c>
      <c r="E600" s="39">
        <v>0</v>
      </c>
      <c r="F600" s="18">
        <f t="shared" si="18"/>
        <v>0</v>
      </c>
      <c r="G600" s="18">
        <f t="shared" si="19"/>
        <v>0</v>
      </c>
    </row>
    <row r="601" spans="1:7" x14ac:dyDescent="0.35">
      <c r="A601" s="21">
        <v>12</v>
      </c>
      <c r="B601" s="38" t="s">
        <v>133</v>
      </c>
      <c r="C601" s="38" t="s">
        <v>64</v>
      </c>
      <c r="D601" s="39">
        <v>0</v>
      </c>
      <c r="E601" s="39">
        <v>0</v>
      </c>
      <c r="F601" s="18">
        <f t="shared" si="18"/>
        <v>0</v>
      </c>
      <c r="G601" s="18">
        <f t="shared" si="19"/>
        <v>0</v>
      </c>
    </row>
    <row r="602" spans="1:7" x14ac:dyDescent="0.35">
      <c r="A602" s="21">
        <v>1</v>
      </c>
      <c r="B602" s="38" t="s">
        <v>133</v>
      </c>
      <c r="C602" s="38" t="s">
        <v>66</v>
      </c>
      <c r="D602" s="39">
        <v>120</v>
      </c>
      <c r="E602" s="39">
        <v>35</v>
      </c>
      <c r="F602" s="18">
        <f t="shared" si="18"/>
        <v>0</v>
      </c>
      <c r="G602" s="18">
        <f t="shared" si="19"/>
        <v>85</v>
      </c>
    </row>
    <row r="603" spans="1:7" x14ac:dyDescent="0.35">
      <c r="A603" s="21">
        <v>2</v>
      </c>
      <c r="B603" s="38" t="s">
        <v>133</v>
      </c>
      <c r="C603" s="38" t="s">
        <v>66</v>
      </c>
      <c r="D603" s="39">
        <v>0</v>
      </c>
      <c r="E603" s="39">
        <v>23</v>
      </c>
      <c r="F603" s="18">
        <f t="shared" si="18"/>
        <v>85</v>
      </c>
      <c r="G603" s="18">
        <f t="shared" si="19"/>
        <v>62</v>
      </c>
    </row>
    <row r="604" spans="1:7" x14ac:dyDescent="0.35">
      <c r="A604" s="21">
        <v>3</v>
      </c>
      <c r="B604" s="38" t="s">
        <v>133</v>
      </c>
      <c r="C604" s="38" t="s">
        <v>66</v>
      </c>
      <c r="D604" s="39">
        <v>0</v>
      </c>
      <c r="E604" s="39">
        <v>17</v>
      </c>
      <c r="F604" s="18">
        <f t="shared" si="18"/>
        <v>62</v>
      </c>
      <c r="G604" s="18">
        <f t="shared" si="19"/>
        <v>45</v>
      </c>
    </row>
    <row r="605" spans="1:7" x14ac:dyDescent="0.35">
      <c r="A605" s="21">
        <v>4</v>
      </c>
      <c r="B605" s="38" t="s">
        <v>133</v>
      </c>
      <c r="C605" s="38" t="s">
        <v>66</v>
      </c>
      <c r="D605" s="39">
        <v>0</v>
      </c>
      <c r="E605" s="39">
        <v>21</v>
      </c>
      <c r="F605" s="18">
        <f t="shared" si="18"/>
        <v>45</v>
      </c>
      <c r="G605" s="18">
        <f t="shared" si="19"/>
        <v>24</v>
      </c>
    </row>
    <row r="606" spans="1:7" x14ac:dyDescent="0.35">
      <c r="A606" s="21">
        <v>5</v>
      </c>
      <c r="B606" s="38" t="s">
        <v>133</v>
      </c>
      <c r="C606" s="38" t="s">
        <v>66</v>
      </c>
      <c r="D606" s="39">
        <v>0</v>
      </c>
      <c r="E606" s="39">
        <v>14</v>
      </c>
      <c r="F606" s="18">
        <f t="shared" si="18"/>
        <v>24</v>
      </c>
      <c r="G606" s="18">
        <f t="shared" si="19"/>
        <v>10</v>
      </c>
    </row>
    <row r="607" spans="1:7" x14ac:dyDescent="0.35">
      <c r="A607" s="21">
        <v>6</v>
      </c>
      <c r="B607" s="38" t="s">
        <v>133</v>
      </c>
      <c r="C607" s="38" t="s">
        <v>66</v>
      </c>
      <c r="D607" s="39">
        <v>0</v>
      </c>
      <c r="E607" s="39">
        <v>10</v>
      </c>
      <c r="F607" s="18">
        <f t="shared" si="18"/>
        <v>10</v>
      </c>
      <c r="G607" s="18">
        <f t="shared" si="19"/>
        <v>0</v>
      </c>
    </row>
    <row r="608" spans="1:7" x14ac:dyDescent="0.35">
      <c r="A608" s="21">
        <v>7</v>
      </c>
      <c r="B608" s="38" t="s">
        <v>133</v>
      </c>
      <c r="C608" s="38" t="s">
        <v>66</v>
      </c>
      <c r="D608" s="39">
        <v>0</v>
      </c>
      <c r="E608" s="39">
        <v>0</v>
      </c>
      <c r="F608" s="18">
        <f t="shared" si="18"/>
        <v>0</v>
      </c>
      <c r="G608" s="18">
        <f t="shared" si="19"/>
        <v>0</v>
      </c>
    </row>
    <row r="609" spans="1:7" x14ac:dyDescent="0.35">
      <c r="A609" s="21">
        <v>8</v>
      </c>
      <c r="B609" s="38" t="s">
        <v>133</v>
      </c>
      <c r="C609" s="38" t="s">
        <v>66</v>
      </c>
      <c r="D609" s="39">
        <v>0</v>
      </c>
      <c r="E609" s="39">
        <v>0</v>
      </c>
      <c r="F609" s="18">
        <f t="shared" si="18"/>
        <v>0</v>
      </c>
      <c r="G609" s="18">
        <f t="shared" si="19"/>
        <v>0</v>
      </c>
    </row>
    <row r="610" spans="1:7" x14ac:dyDescent="0.35">
      <c r="A610" s="21">
        <v>9</v>
      </c>
      <c r="B610" s="38" t="s">
        <v>133</v>
      </c>
      <c r="C610" s="38" t="s">
        <v>66</v>
      </c>
      <c r="D610" s="39">
        <v>0</v>
      </c>
      <c r="E610" s="39">
        <v>0</v>
      </c>
      <c r="F610" s="18">
        <f t="shared" si="18"/>
        <v>0</v>
      </c>
      <c r="G610" s="18">
        <f t="shared" si="19"/>
        <v>0</v>
      </c>
    </row>
    <row r="611" spans="1:7" x14ac:dyDescent="0.35">
      <c r="A611" s="21">
        <v>10</v>
      </c>
      <c r="B611" s="38" t="s">
        <v>133</v>
      </c>
      <c r="C611" s="38" t="s">
        <v>66</v>
      </c>
      <c r="D611" s="39">
        <v>0</v>
      </c>
      <c r="E611" s="39">
        <v>0</v>
      </c>
      <c r="F611" s="18">
        <f t="shared" si="18"/>
        <v>0</v>
      </c>
      <c r="G611" s="18">
        <f t="shared" si="19"/>
        <v>0</v>
      </c>
    </row>
    <row r="612" spans="1:7" x14ac:dyDescent="0.35">
      <c r="A612" s="21">
        <v>11</v>
      </c>
      <c r="B612" s="38" t="s">
        <v>133</v>
      </c>
      <c r="C612" s="38" t="s">
        <v>66</v>
      </c>
      <c r="D612" s="39">
        <v>0</v>
      </c>
      <c r="E612" s="39">
        <v>0</v>
      </c>
      <c r="F612" s="18">
        <f t="shared" si="18"/>
        <v>0</v>
      </c>
      <c r="G612" s="18">
        <f t="shared" si="19"/>
        <v>0</v>
      </c>
    </row>
    <row r="613" spans="1:7" x14ac:dyDescent="0.35">
      <c r="A613" s="21">
        <v>12</v>
      </c>
      <c r="B613" s="38" t="s">
        <v>133</v>
      </c>
      <c r="C613" s="38" t="s">
        <v>66</v>
      </c>
      <c r="D613" s="39">
        <v>0</v>
      </c>
      <c r="E613" s="39">
        <v>0</v>
      </c>
      <c r="F613" s="18">
        <f t="shared" si="18"/>
        <v>0</v>
      </c>
      <c r="G613" s="18">
        <f t="shared" si="19"/>
        <v>0</v>
      </c>
    </row>
    <row r="614" spans="1:7" x14ac:dyDescent="0.35">
      <c r="A614" s="21">
        <v>1</v>
      </c>
      <c r="B614" s="38" t="s">
        <v>133</v>
      </c>
      <c r="C614" s="38" t="s">
        <v>68</v>
      </c>
      <c r="D614" s="39">
        <v>154</v>
      </c>
      <c r="E614" s="39">
        <v>66</v>
      </c>
      <c r="F614" s="18">
        <f t="shared" si="18"/>
        <v>0</v>
      </c>
      <c r="G614" s="18">
        <f t="shared" si="19"/>
        <v>88</v>
      </c>
    </row>
    <row r="615" spans="1:7" x14ac:dyDescent="0.35">
      <c r="A615" s="21">
        <v>2</v>
      </c>
      <c r="B615" s="38" t="s">
        <v>133</v>
      </c>
      <c r="C615" s="38" t="s">
        <v>68</v>
      </c>
      <c r="D615" s="39">
        <v>0</v>
      </c>
      <c r="E615" s="39">
        <v>38</v>
      </c>
      <c r="F615" s="18">
        <f t="shared" si="18"/>
        <v>88</v>
      </c>
      <c r="G615" s="18">
        <f t="shared" si="19"/>
        <v>50</v>
      </c>
    </row>
    <row r="616" spans="1:7" x14ac:dyDescent="0.35">
      <c r="A616" s="21">
        <v>3</v>
      </c>
      <c r="B616" s="38" t="s">
        <v>133</v>
      </c>
      <c r="C616" s="38" t="s">
        <v>68</v>
      </c>
      <c r="D616" s="39">
        <v>0</v>
      </c>
      <c r="E616" s="39">
        <v>37</v>
      </c>
      <c r="F616" s="18">
        <f t="shared" si="18"/>
        <v>50</v>
      </c>
      <c r="G616" s="18">
        <f t="shared" si="19"/>
        <v>13</v>
      </c>
    </row>
    <row r="617" spans="1:7" x14ac:dyDescent="0.35">
      <c r="A617" s="21">
        <v>4</v>
      </c>
      <c r="B617" s="38" t="s">
        <v>133</v>
      </c>
      <c r="C617" s="38" t="s">
        <v>68</v>
      </c>
      <c r="D617" s="39">
        <v>0</v>
      </c>
      <c r="E617" s="39">
        <v>13</v>
      </c>
      <c r="F617" s="18">
        <f t="shared" si="18"/>
        <v>13</v>
      </c>
      <c r="G617" s="18">
        <f t="shared" si="19"/>
        <v>0</v>
      </c>
    </row>
    <row r="618" spans="1:7" x14ac:dyDescent="0.35">
      <c r="A618" s="21">
        <v>5</v>
      </c>
      <c r="B618" s="38" t="s">
        <v>133</v>
      </c>
      <c r="C618" s="38" t="s">
        <v>68</v>
      </c>
      <c r="D618" s="39">
        <v>0</v>
      </c>
      <c r="E618" s="39">
        <v>0</v>
      </c>
      <c r="F618" s="18">
        <f t="shared" si="18"/>
        <v>0</v>
      </c>
      <c r="G618" s="18">
        <f t="shared" si="19"/>
        <v>0</v>
      </c>
    </row>
    <row r="619" spans="1:7" x14ac:dyDescent="0.35">
      <c r="A619" s="21">
        <v>6</v>
      </c>
      <c r="B619" s="38" t="s">
        <v>133</v>
      </c>
      <c r="C619" s="38" t="s">
        <v>68</v>
      </c>
      <c r="D619" s="39">
        <v>0</v>
      </c>
      <c r="E619" s="39">
        <v>0</v>
      </c>
      <c r="F619" s="18">
        <f t="shared" si="18"/>
        <v>0</v>
      </c>
      <c r="G619" s="18">
        <f t="shared" si="19"/>
        <v>0</v>
      </c>
    </row>
    <row r="620" spans="1:7" x14ac:dyDescent="0.35">
      <c r="A620" s="21">
        <v>7</v>
      </c>
      <c r="B620" s="38" t="s">
        <v>133</v>
      </c>
      <c r="C620" s="38" t="s">
        <v>68</v>
      </c>
      <c r="D620" s="39">
        <v>0</v>
      </c>
      <c r="E620" s="39">
        <v>0</v>
      </c>
      <c r="F620" s="18">
        <f t="shared" si="18"/>
        <v>0</v>
      </c>
      <c r="G620" s="18">
        <f t="shared" si="19"/>
        <v>0</v>
      </c>
    </row>
    <row r="621" spans="1:7" x14ac:dyDescent="0.35">
      <c r="A621" s="21">
        <v>8</v>
      </c>
      <c r="B621" s="38" t="s">
        <v>133</v>
      </c>
      <c r="C621" s="38" t="s">
        <v>68</v>
      </c>
      <c r="D621" s="39">
        <v>0</v>
      </c>
      <c r="E621" s="39">
        <v>0</v>
      </c>
      <c r="F621" s="18">
        <f t="shared" si="18"/>
        <v>0</v>
      </c>
      <c r="G621" s="18">
        <f t="shared" si="19"/>
        <v>0</v>
      </c>
    </row>
    <row r="622" spans="1:7" x14ac:dyDescent="0.35">
      <c r="A622" s="21">
        <v>9</v>
      </c>
      <c r="B622" s="38" t="s">
        <v>133</v>
      </c>
      <c r="C622" s="38" t="s">
        <v>68</v>
      </c>
      <c r="D622" s="39">
        <v>0</v>
      </c>
      <c r="E622" s="39">
        <v>0</v>
      </c>
      <c r="F622" s="18">
        <f t="shared" si="18"/>
        <v>0</v>
      </c>
      <c r="G622" s="18">
        <f t="shared" si="19"/>
        <v>0</v>
      </c>
    </row>
    <row r="623" spans="1:7" x14ac:dyDescent="0.35">
      <c r="A623" s="21">
        <v>10</v>
      </c>
      <c r="B623" s="38" t="s">
        <v>133</v>
      </c>
      <c r="C623" s="38" t="s">
        <v>68</v>
      </c>
      <c r="D623" s="39">
        <v>0</v>
      </c>
      <c r="E623" s="39">
        <v>0</v>
      </c>
      <c r="F623" s="18">
        <f t="shared" si="18"/>
        <v>0</v>
      </c>
      <c r="G623" s="18">
        <f t="shared" si="19"/>
        <v>0</v>
      </c>
    </row>
    <row r="624" spans="1:7" x14ac:dyDescent="0.35">
      <c r="A624" s="21">
        <v>11</v>
      </c>
      <c r="B624" s="38" t="s">
        <v>133</v>
      </c>
      <c r="C624" s="38" t="s">
        <v>68</v>
      </c>
      <c r="D624" s="39">
        <v>0</v>
      </c>
      <c r="E624" s="39">
        <v>0</v>
      </c>
      <c r="F624" s="18">
        <f t="shared" si="18"/>
        <v>0</v>
      </c>
      <c r="G624" s="18">
        <f t="shared" si="19"/>
        <v>0</v>
      </c>
    </row>
    <row r="625" spans="1:7" x14ac:dyDescent="0.35">
      <c r="A625" s="21">
        <v>12</v>
      </c>
      <c r="B625" s="38" t="s">
        <v>133</v>
      </c>
      <c r="C625" s="38" t="s">
        <v>68</v>
      </c>
      <c r="D625" s="39">
        <v>0</v>
      </c>
      <c r="E625" s="39">
        <v>0</v>
      </c>
      <c r="F625" s="18">
        <f t="shared" si="18"/>
        <v>0</v>
      </c>
      <c r="G625" s="18">
        <f t="shared" si="19"/>
        <v>0</v>
      </c>
    </row>
    <row r="626" spans="1:7" x14ac:dyDescent="0.35">
      <c r="A626" s="21">
        <v>1</v>
      </c>
      <c r="B626" s="38" t="s">
        <v>135</v>
      </c>
      <c r="C626" s="38" t="s">
        <v>62</v>
      </c>
      <c r="D626" s="39">
        <v>110</v>
      </c>
      <c r="E626" s="39">
        <v>43</v>
      </c>
      <c r="F626" s="18">
        <f t="shared" si="18"/>
        <v>0</v>
      </c>
      <c r="G626" s="18">
        <f t="shared" si="19"/>
        <v>67</v>
      </c>
    </row>
    <row r="627" spans="1:7" x14ac:dyDescent="0.35">
      <c r="A627" s="21">
        <v>2</v>
      </c>
      <c r="B627" s="38" t="s">
        <v>135</v>
      </c>
      <c r="C627" s="38" t="s">
        <v>62</v>
      </c>
      <c r="D627" s="39">
        <v>0</v>
      </c>
      <c r="E627" s="39">
        <v>32</v>
      </c>
      <c r="F627" s="18">
        <f t="shared" si="18"/>
        <v>67</v>
      </c>
      <c r="G627" s="18">
        <f t="shared" si="19"/>
        <v>35</v>
      </c>
    </row>
    <row r="628" spans="1:7" x14ac:dyDescent="0.35">
      <c r="A628" s="21">
        <v>3</v>
      </c>
      <c r="B628" s="38" t="s">
        <v>135</v>
      </c>
      <c r="C628" s="38" t="s">
        <v>62</v>
      </c>
      <c r="D628" s="39">
        <v>0</v>
      </c>
      <c r="E628" s="39">
        <v>15</v>
      </c>
      <c r="F628" s="18">
        <f t="shared" si="18"/>
        <v>35</v>
      </c>
      <c r="G628" s="18">
        <f t="shared" si="19"/>
        <v>20</v>
      </c>
    </row>
    <row r="629" spans="1:7" x14ac:dyDescent="0.35">
      <c r="A629" s="21">
        <v>4</v>
      </c>
      <c r="B629" s="38" t="s">
        <v>135</v>
      </c>
      <c r="C629" s="38" t="s">
        <v>62</v>
      </c>
      <c r="D629" s="39">
        <v>0</v>
      </c>
      <c r="E629" s="39">
        <v>15</v>
      </c>
      <c r="F629" s="18">
        <f t="shared" si="18"/>
        <v>20</v>
      </c>
      <c r="G629" s="18">
        <f t="shared" si="19"/>
        <v>5</v>
      </c>
    </row>
    <row r="630" spans="1:7" x14ac:dyDescent="0.35">
      <c r="A630" s="21">
        <v>5</v>
      </c>
      <c r="B630" s="38" t="s">
        <v>135</v>
      </c>
      <c r="C630" s="38" t="s">
        <v>62</v>
      </c>
      <c r="D630" s="39">
        <v>0</v>
      </c>
      <c r="E630" s="39">
        <v>5</v>
      </c>
      <c r="F630" s="18">
        <f t="shared" si="18"/>
        <v>5</v>
      </c>
      <c r="G630" s="18">
        <f t="shared" si="19"/>
        <v>0</v>
      </c>
    </row>
    <row r="631" spans="1:7" x14ac:dyDescent="0.35">
      <c r="A631" s="21">
        <v>6</v>
      </c>
      <c r="B631" s="38" t="s">
        <v>135</v>
      </c>
      <c r="C631" s="38" t="s">
        <v>62</v>
      </c>
      <c r="D631" s="39">
        <v>0</v>
      </c>
      <c r="E631" s="39">
        <v>0</v>
      </c>
      <c r="F631" s="18">
        <f t="shared" si="18"/>
        <v>0</v>
      </c>
      <c r="G631" s="18">
        <f t="shared" si="19"/>
        <v>0</v>
      </c>
    </row>
    <row r="632" spans="1:7" x14ac:dyDescent="0.35">
      <c r="A632" s="21">
        <v>7</v>
      </c>
      <c r="B632" s="38" t="s">
        <v>135</v>
      </c>
      <c r="C632" s="38" t="s">
        <v>62</v>
      </c>
      <c r="D632" s="39">
        <v>0</v>
      </c>
      <c r="E632" s="39">
        <v>0</v>
      </c>
      <c r="F632" s="18">
        <f t="shared" si="18"/>
        <v>0</v>
      </c>
      <c r="G632" s="18">
        <f t="shared" si="19"/>
        <v>0</v>
      </c>
    </row>
    <row r="633" spans="1:7" x14ac:dyDescent="0.35">
      <c r="A633" s="21">
        <v>8</v>
      </c>
      <c r="B633" s="38" t="s">
        <v>135</v>
      </c>
      <c r="C633" s="38" t="s">
        <v>62</v>
      </c>
      <c r="D633" s="39">
        <v>0</v>
      </c>
      <c r="E633" s="39">
        <v>0</v>
      </c>
      <c r="F633" s="18">
        <f t="shared" si="18"/>
        <v>0</v>
      </c>
      <c r="G633" s="18">
        <f t="shared" si="19"/>
        <v>0</v>
      </c>
    </row>
    <row r="634" spans="1:7" x14ac:dyDescent="0.35">
      <c r="A634" s="21">
        <v>9</v>
      </c>
      <c r="B634" s="38" t="s">
        <v>135</v>
      </c>
      <c r="C634" s="38" t="s">
        <v>62</v>
      </c>
      <c r="D634" s="39">
        <v>0</v>
      </c>
      <c r="E634" s="39">
        <v>0</v>
      </c>
      <c r="F634" s="18">
        <f t="shared" si="18"/>
        <v>0</v>
      </c>
      <c r="G634" s="18">
        <f t="shared" si="19"/>
        <v>0</v>
      </c>
    </row>
    <row r="635" spans="1:7" x14ac:dyDescent="0.35">
      <c r="A635" s="21">
        <v>10</v>
      </c>
      <c r="B635" s="38" t="s">
        <v>135</v>
      </c>
      <c r="C635" s="38" t="s">
        <v>62</v>
      </c>
      <c r="D635" s="39">
        <v>0</v>
      </c>
      <c r="E635" s="39">
        <v>0</v>
      </c>
      <c r="F635" s="18">
        <f t="shared" si="18"/>
        <v>0</v>
      </c>
      <c r="G635" s="18">
        <f t="shared" si="19"/>
        <v>0</v>
      </c>
    </row>
    <row r="636" spans="1:7" x14ac:dyDescent="0.35">
      <c r="A636" s="21">
        <v>11</v>
      </c>
      <c r="B636" s="38" t="s">
        <v>135</v>
      </c>
      <c r="C636" s="38" t="s">
        <v>62</v>
      </c>
      <c r="D636" s="39">
        <v>0</v>
      </c>
      <c r="E636" s="39">
        <v>0</v>
      </c>
      <c r="F636" s="18">
        <f t="shared" si="18"/>
        <v>0</v>
      </c>
      <c r="G636" s="18">
        <f t="shared" si="19"/>
        <v>0</v>
      </c>
    </row>
    <row r="637" spans="1:7" x14ac:dyDescent="0.35">
      <c r="A637" s="21">
        <v>12</v>
      </c>
      <c r="B637" s="38" t="s">
        <v>135</v>
      </c>
      <c r="C637" s="38" t="s">
        <v>62</v>
      </c>
      <c r="D637" s="39">
        <v>0</v>
      </c>
      <c r="E637" s="39">
        <v>0</v>
      </c>
      <c r="F637" s="18">
        <f t="shared" si="18"/>
        <v>0</v>
      </c>
      <c r="G637" s="18">
        <f t="shared" si="19"/>
        <v>0</v>
      </c>
    </row>
    <row r="638" spans="1:7" x14ac:dyDescent="0.35">
      <c r="A638" s="21">
        <v>1</v>
      </c>
      <c r="B638" s="38" t="s">
        <v>135</v>
      </c>
      <c r="C638" s="38" t="s">
        <v>64</v>
      </c>
      <c r="D638" s="39">
        <v>129</v>
      </c>
      <c r="E638" s="39">
        <v>51</v>
      </c>
      <c r="F638" s="18">
        <f t="shared" si="18"/>
        <v>0</v>
      </c>
      <c r="G638" s="18">
        <f t="shared" si="19"/>
        <v>78</v>
      </c>
    </row>
    <row r="639" spans="1:7" x14ac:dyDescent="0.35">
      <c r="A639" s="21">
        <v>2</v>
      </c>
      <c r="B639" s="38" t="s">
        <v>135</v>
      </c>
      <c r="C639" s="38" t="s">
        <v>64</v>
      </c>
      <c r="D639" s="39">
        <v>0</v>
      </c>
      <c r="E639" s="39">
        <v>41</v>
      </c>
      <c r="F639" s="18">
        <f t="shared" si="18"/>
        <v>78</v>
      </c>
      <c r="G639" s="18">
        <f t="shared" si="19"/>
        <v>37</v>
      </c>
    </row>
    <row r="640" spans="1:7" x14ac:dyDescent="0.35">
      <c r="A640" s="21">
        <v>3</v>
      </c>
      <c r="B640" s="38" t="s">
        <v>135</v>
      </c>
      <c r="C640" s="38" t="s">
        <v>64</v>
      </c>
      <c r="D640" s="39">
        <v>0</v>
      </c>
      <c r="E640" s="39">
        <v>33</v>
      </c>
      <c r="F640" s="18">
        <f t="shared" si="18"/>
        <v>37</v>
      </c>
      <c r="G640" s="18">
        <f t="shared" si="19"/>
        <v>4</v>
      </c>
    </row>
    <row r="641" spans="1:7" x14ac:dyDescent="0.35">
      <c r="A641" s="21">
        <v>4</v>
      </c>
      <c r="B641" s="38" t="s">
        <v>135</v>
      </c>
      <c r="C641" s="38" t="s">
        <v>64</v>
      </c>
      <c r="D641" s="39">
        <v>0</v>
      </c>
      <c r="E641" s="39">
        <v>4</v>
      </c>
      <c r="F641" s="18">
        <f t="shared" si="18"/>
        <v>4</v>
      </c>
      <c r="G641" s="18">
        <f t="shared" si="19"/>
        <v>0</v>
      </c>
    </row>
    <row r="642" spans="1:7" x14ac:dyDescent="0.35">
      <c r="A642" s="21">
        <v>5</v>
      </c>
      <c r="B642" s="38" t="s">
        <v>135</v>
      </c>
      <c r="C642" s="38" t="s">
        <v>64</v>
      </c>
      <c r="D642" s="39">
        <v>0</v>
      </c>
      <c r="E642" s="39">
        <v>0</v>
      </c>
      <c r="F642" s="18">
        <f t="shared" ref="F642:F705" si="20">IF(A642=1,0,G641)</f>
        <v>0</v>
      </c>
      <c r="G642" s="18">
        <f t="shared" ref="G642:G705" si="21">F642+D642-E642</f>
        <v>0</v>
      </c>
    </row>
    <row r="643" spans="1:7" x14ac:dyDescent="0.35">
      <c r="A643" s="21">
        <v>6</v>
      </c>
      <c r="B643" s="38" t="s">
        <v>135</v>
      </c>
      <c r="C643" s="38" t="s">
        <v>64</v>
      </c>
      <c r="D643" s="39">
        <v>0</v>
      </c>
      <c r="E643" s="39">
        <v>0</v>
      </c>
      <c r="F643" s="18">
        <f t="shared" si="20"/>
        <v>0</v>
      </c>
      <c r="G643" s="18">
        <f t="shared" si="21"/>
        <v>0</v>
      </c>
    </row>
    <row r="644" spans="1:7" x14ac:dyDescent="0.35">
      <c r="A644" s="21">
        <v>7</v>
      </c>
      <c r="B644" s="38" t="s">
        <v>135</v>
      </c>
      <c r="C644" s="38" t="s">
        <v>64</v>
      </c>
      <c r="D644" s="39">
        <v>0</v>
      </c>
      <c r="E644" s="39">
        <v>0</v>
      </c>
      <c r="F644" s="18">
        <f t="shared" si="20"/>
        <v>0</v>
      </c>
      <c r="G644" s="18">
        <f t="shared" si="21"/>
        <v>0</v>
      </c>
    </row>
    <row r="645" spans="1:7" x14ac:dyDescent="0.35">
      <c r="A645" s="21">
        <v>8</v>
      </c>
      <c r="B645" s="38" t="s">
        <v>135</v>
      </c>
      <c r="C645" s="38" t="s">
        <v>64</v>
      </c>
      <c r="D645" s="39">
        <v>0</v>
      </c>
      <c r="E645" s="39">
        <v>0</v>
      </c>
      <c r="F645" s="18">
        <f t="shared" si="20"/>
        <v>0</v>
      </c>
      <c r="G645" s="18">
        <f t="shared" si="21"/>
        <v>0</v>
      </c>
    </row>
    <row r="646" spans="1:7" x14ac:dyDescent="0.35">
      <c r="A646" s="21">
        <v>9</v>
      </c>
      <c r="B646" s="38" t="s">
        <v>135</v>
      </c>
      <c r="C646" s="38" t="s">
        <v>64</v>
      </c>
      <c r="D646" s="39">
        <v>0</v>
      </c>
      <c r="E646" s="39">
        <v>0</v>
      </c>
      <c r="F646" s="18">
        <f t="shared" si="20"/>
        <v>0</v>
      </c>
      <c r="G646" s="18">
        <f t="shared" si="21"/>
        <v>0</v>
      </c>
    </row>
    <row r="647" spans="1:7" x14ac:dyDescent="0.35">
      <c r="A647" s="21">
        <v>10</v>
      </c>
      <c r="B647" s="38" t="s">
        <v>135</v>
      </c>
      <c r="C647" s="38" t="s">
        <v>64</v>
      </c>
      <c r="D647" s="39">
        <v>0</v>
      </c>
      <c r="E647" s="39">
        <v>0</v>
      </c>
      <c r="F647" s="18">
        <f t="shared" si="20"/>
        <v>0</v>
      </c>
      <c r="G647" s="18">
        <f t="shared" si="21"/>
        <v>0</v>
      </c>
    </row>
    <row r="648" spans="1:7" x14ac:dyDescent="0.35">
      <c r="A648" s="21">
        <v>11</v>
      </c>
      <c r="B648" s="38" t="s">
        <v>135</v>
      </c>
      <c r="C648" s="38" t="s">
        <v>64</v>
      </c>
      <c r="D648" s="39">
        <v>0</v>
      </c>
      <c r="E648" s="39">
        <v>0</v>
      </c>
      <c r="F648" s="18">
        <f t="shared" si="20"/>
        <v>0</v>
      </c>
      <c r="G648" s="18">
        <f t="shared" si="21"/>
        <v>0</v>
      </c>
    </row>
    <row r="649" spans="1:7" x14ac:dyDescent="0.35">
      <c r="A649" s="21">
        <v>12</v>
      </c>
      <c r="B649" s="38" t="s">
        <v>135</v>
      </c>
      <c r="C649" s="38" t="s">
        <v>64</v>
      </c>
      <c r="D649" s="39">
        <v>0</v>
      </c>
      <c r="E649" s="39">
        <v>0</v>
      </c>
      <c r="F649" s="18">
        <f t="shared" si="20"/>
        <v>0</v>
      </c>
      <c r="G649" s="18">
        <f t="shared" si="21"/>
        <v>0</v>
      </c>
    </row>
    <row r="650" spans="1:7" x14ac:dyDescent="0.35">
      <c r="A650" s="21">
        <v>1</v>
      </c>
      <c r="B650" s="38" t="s">
        <v>135</v>
      </c>
      <c r="C650" s="38" t="s">
        <v>66</v>
      </c>
      <c r="D650" s="39">
        <v>92</v>
      </c>
      <c r="E650" s="39">
        <v>35</v>
      </c>
      <c r="F650" s="18">
        <f t="shared" si="20"/>
        <v>0</v>
      </c>
      <c r="G650" s="18">
        <f t="shared" si="21"/>
        <v>57</v>
      </c>
    </row>
    <row r="651" spans="1:7" x14ac:dyDescent="0.35">
      <c r="A651" s="21">
        <v>2</v>
      </c>
      <c r="B651" s="38" t="s">
        <v>135</v>
      </c>
      <c r="C651" s="38" t="s">
        <v>66</v>
      </c>
      <c r="D651" s="39">
        <v>0</v>
      </c>
      <c r="E651" s="39">
        <v>17</v>
      </c>
      <c r="F651" s="18">
        <f t="shared" si="20"/>
        <v>57</v>
      </c>
      <c r="G651" s="18">
        <f t="shared" si="21"/>
        <v>40</v>
      </c>
    </row>
    <row r="652" spans="1:7" x14ac:dyDescent="0.35">
      <c r="A652" s="21">
        <v>3</v>
      </c>
      <c r="B652" s="38" t="s">
        <v>135</v>
      </c>
      <c r="C652" s="38" t="s">
        <v>66</v>
      </c>
      <c r="D652" s="39">
        <v>0</v>
      </c>
      <c r="E652" s="39">
        <v>15</v>
      </c>
      <c r="F652" s="18">
        <f t="shared" si="20"/>
        <v>40</v>
      </c>
      <c r="G652" s="18">
        <f t="shared" si="21"/>
        <v>25</v>
      </c>
    </row>
    <row r="653" spans="1:7" x14ac:dyDescent="0.35">
      <c r="A653" s="21">
        <v>4</v>
      </c>
      <c r="B653" s="38" t="s">
        <v>135</v>
      </c>
      <c r="C653" s="38" t="s">
        <v>66</v>
      </c>
      <c r="D653" s="39">
        <v>0</v>
      </c>
      <c r="E653" s="39">
        <v>15</v>
      </c>
      <c r="F653" s="18">
        <f t="shared" si="20"/>
        <v>25</v>
      </c>
      <c r="G653" s="18">
        <f t="shared" si="21"/>
        <v>10</v>
      </c>
    </row>
    <row r="654" spans="1:7" x14ac:dyDescent="0.35">
      <c r="A654" s="21">
        <v>5</v>
      </c>
      <c r="B654" s="38" t="s">
        <v>135</v>
      </c>
      <c r="C654" s="38" t="s">
        <v>66</v>
      </c>
      <c r="D654" s="39">
        <v>0</v>
      </c>
      <c r="E654" s="39">
        <v>10</v>
      </c>
      <c r="F654" s="18">
        <f t="shared" si="20"/>
        <v>10</v>
      </c>
      <c r="G654" s="18">
        <f t="shared" si="21"/>
        <v>0</v>
      </c>
    </row>
    <row r="655" spans="1:7" x14ac:dyDescent="0.35">
      <c r="A655" s="21">
        <v>6</v>
      </c>
      <c r="B655" s="38" t="s">
        <v>135</v>
      </c>
      <c r="C655" s="38" t="s">
        <v>66</v>
      </c>
      <c r="D655" s="39">
        <v>0</v>
      </c>
      <c r="E655" s="39">
        <v>0</v>
      </c>
      <c r="F655" s="18">
        <f t="shared" si="20"/>
        <v>0</v>
      </c>
      <c r="G655" s="18">
        <f t="shared" si="21"/>
        <v>0</v>
      </c>
    </row>
    <row r="656" spans="1:7" x14ac:dyDescent="0.35">
      <c r="A656" s="21">
        <v>7</v>
      </c>
      <c r="B656" s="38" t="s">
        <v>135</v>
      </c>
      <c r="C656" s="38" t="s">
        <v>66</v>
      </c>
      <c r="D656" s="39">
        <v>0</v>
      </c>
      <c r="E656" s="39">
        <v>0</v>
      </c>
      <c r="F656" s="18">
        <f t="shared" si="20"/>
        <v>0</v>
      </c>
      <c r="G656" s="18">
        <f t="shared" si="21"/>
        <v>0</v>
      </c>
    </row>
    <row r="657" spans="1:7" x14ac:dyDescent="0.35">
      <c r="A657" s="21">
        <v>8</v>
      </c>
      <c r="B657" s="38" t="s">
        <v>135</v>
      </c>
      <c r="C657" s="38" t="s">
        <v>66</v>
      </c>
      <c r="D657" s="39">
        <v>0</v>
      </c>
      <c r="E657" s="39">
        <v>0</v>
      </c>
      <c r="F657" s="18">
        <f t="shared" si="20"/>
        <v>0</v>
      </c>
      <c r="G657" s="18">
        <f t="shared" si="21"/>
        <v>0</v>
      </c>
    </row>
    <row r="658" spans="1:7" x14ac:dyDescent="0.35">
      <c r="A658" s="21">
        <v>9</v>
      </c>
      <c r="B658" s="38" t="s">
        <v>135</v>
      </c>
      <c r="C658" s="38" t="s">
        <v>66</v>
      </c>
      <c r="D658" s="39">
        <v>0</v>
      </c>
      <c r="E658" s="39">
        <v>0</v>
      </c>
      <c r="F658" s="18">
        <f t="shared" si="20"/>
        <v>0</v>
      </c>
      <c r="G658" s="18">
        <f t="shared" si="21"/>
        <v>0</v>
      </c>
    </row>
    <row r="659" spans="1:7" x14ac:dyDescent="0.35">
      <c r="A659" s="21">
        <v>10</v>
      </c>
      <c r="B659" s="38" t="s">
        <v>135</v>
      </c>
      <c r="C659" s="38" t="s">
        <v>66</v>
      </c>
      <c r="D659" s="39">
        <v>0</v>
      </c>
      <c r="E659" s="39">
        <v>0</v>
      </c>
      <c r="F659" s="18">
        <f t="shared" si="20"/>
        <v>0</v>
      </c>
      <c r="G659" s="18">
        <f t="shared" si="21"/>
        <v>0</v>
      </c>
    </row>
    <row r="660" spans="1:7" x14ac:dyDescent="0.35">
      <c r="A660" s="21">
        <v>11</v>
      </c>
      <c r="B660" s="38" t="s">
        <v>135</v>
      </c>
      <c r="C660" s="38" t="s">
        <v>66</v>
      </c>
      <c r="D660" s="39">
        <v>0</v>
      </c>
      <c r="E660" s="39">
        <v>0</v>
      </c>
      <c r="F660" s="18">
        <f t="shared" si="20"/>
        <v>0</v>
      </c>
      <c r="G660" s="18">
        <f t="shared" si="21"/>
        <v>0</v>
      </c>
    </row>
    <row r="661" spans="1:7" x14ac:dyDescent="0.35">
      <c r="A661" s="21">
        <v>12</v>
      </c>
      <c r="B661" s="38" t="s">
        <v>135</v>
      </c>
      <c r="C661" s="38" t="s">
        <v>66</v>
      </c>
      <c r="D661" s="39">
        <v>0</v>
      </c>
      <c r="E661" s="39">
        <v>0</v>
      </c>
      <c r="F661" s="18">
        <f t="shared" si="20"/>
        <v>0</v>
      </c>
      <c r="G661" s="18">
        <f t="shared" si="21"/>
        <v>0</v>
      </c>
    </row>
    <row r="662" spans="1:7" x14ac:dyDescent="0.35">
      <c r="A662" s="21">
        <v>1</v>
      </c>
      <c r="B662" s="38" t="s">
        <v>135</v>
      </c>
      <c r="C662" s="38" t="s">
        <v>68</v>
      </c>
      <c r="D662" s="39">
        <v>107</v>
      </c>
      <c r="E662" s="39">
        <v>40</v>
      </c>
      <c r="F662" s="18">
        <f t="shared" si="20"/>
        <v>0</v>
      </c>
      <c r="G662" s="18">
        <f t="shared" si="21"/>
        <v>67</v>
      </c>
    </row>
    <row r="663" spans="1:7" x14ac:dyDescent="0.35">
      <c r="A663" s="21">
        <v>2</v>
      </c>
      <c r="B663" s="38" t="s">
        <v>135</v>
      </c>
      <c r="C663" s="38" t="s">
        <v>68</v>
      </c>
      <c r="D663" s="39">
        <v>0</v>
      </c>
      <c r="E663" s="39">
        <v>34</v>
      </c>
      <c r="F663" s="18">
        <f t="shared" si="20"/>
        <v>67</v>
      </c>
      <c r="G663" s="18">
        <f t="shared" si="21"/>
        <v>33</v>
      </c>
    </row>
    <row r="664" spans="1:7" x14ac:dyDescent="0.35">
      <c r="A664" s="21">
        <v>3</v>
      </c>
      <c r="B664" s="38" t="s">
        <v>135</v>
      </c>
      <c r="C664" s="38" t="s">
        <v>68</v>
      </c>
      <c r="D664" s="39">
        <v>0</v>
      </c>
      <c r="E664" s="39">
        <v>17</v>
      </c>
      <c r="F664" s="18">
        <f t="shared" si="20"/>
        <v>33</v>
      </c>
      <c r="G664" s="18">
        <f t="shared" si="21"/>
        <v>16</v>
      </c>
    </row>
    <row r="665" spans="1:7" x14ac:dyDescent="0.35">
      <c r="A665" s="21">
        <v>4</v>
      </c>
      <c r="B665" s="38" t="s">
        <v>135</v>
      </c>
      <c r="C665" s="38" t="s">
        <v>68</v>
      </c>
      <c r="D665" s="39">
        <v>0</v>
      </c>
      <c r="E665" s="39">
        <v>16</v>
      </c>
      <c r="F665" s="18">
        <f t="shared" si="20"/>
        <v>16</v>
      </c>
      <c r="G665" s="18">
        <f t="shared" si="21"/>
        <v>0</v>
      </c>
    </row>
    <row r="666" spans="1:7" x14ac:dyDescent="0.35">
      <c r="A666" s="21">
        <v>5</v>
      </c>
      <c r="B666" s="38" t="s">
        <v>135</v>
      </c>
      <c r="C666" s="38" t="s">
        <v>68</v>
      </c>
      <c r="D666" s="39">
        <v>0</v>
      </c>
      <c r="E666" s="39">
        <v>0</v>
      </c>
      <c r="F666" s="18">
        <f t="shared" si="20"/>
        <v>0</v>
      </c>
      <c r="G666" s="18">
        <f t="shared" si="21"/>
        <v>0</v>
      </c>
    </row>
    <row r="667" spans="1:7" x14ac:dyDescent="0.35">
      <c r="A667" s="21">
        <v>6</v>
      </c>
      <c r="B667" s="38" t="s">
        <v>135</v>
      </c>
      <c r="C667" s="38" t="s">
        <v>68</v>
      </c>
      <c r="D667" s="39">
        <v>0</v>
      </c>
      <c r="E667" s="39">
        <v>0</v>
      </c>
      <c r="F667" s="18">
        <f t="shared" si="20"/>
        <v>0</v>
      </c>
      <c r="G667" s="18">
        <f t="shared" si="21"/>
        <v>0</v>
      </c>
    </row>
    <row r="668" spans="1:7" x14ac:dyDescent="0.35">
      <c r="A668" s="21">
        <v>7</v>
      </c>
      <c r="B668" s="38" t="s">
        <v>135</v>
      </c>
      <c r="C668" s="38" t="s">
        <v>68</v>
      </c>
      <c r="D668" s="39">
        <v>0</v>
      </c>
      <c r="E668" s="39">
        <v>0</v>
      </c>
      <c r="F668" s="18">
        <f t="shared" si="20"/>
        <v>0</v>
      </c>
      <c r="G668" s="18">
        <f t="shared" si="21"/>
        <v>0</v>
      </c>
    </row>
    <row r="669" spans="1:7" x14ac:dyDescent="0.35">
      <c r="A669" s="21">
        <v>8</v>
      </c>
      <c r="B669" s="38" t="s">
        <v>135</v>
      </c>
      <c r="C669" s="38" t="s">
        <v>68</v>
      </c>
      <c r="D669" s="39">
        <v>0</v>
      </c>
      <c r="E669" s="39">
        <v>0</v>
      </c>
      <c r="F669" s="18">
        <f t="shared" si="20"/>
        <v>0</v>
      </c>
      <c r="G669" s="18">
        <f t="shared" si="21"/>
        <v>0</v>
      </c>
    </row>
    <row r="670" spans="1:7" x14ac:dyDescent="0.35">
      <c r="A670" s="21">
        <v>9</v>
      </c>
      <c r="B670" s="38" t="s">
        <v>135</v>
      </c>
      <c r="C670" s="38" t="s">
        <v>68</v>
      </c>
      <c r="D670" s="39">
        <v>0</v>
      </c>
      <c r="E670" s="39">
        <v>0</v>
      </c>
      <c r="F670" s="18">
        <f t="shared" si="20"/>
        <v>0</v>
      </c>
      <c r="G670" s="18">
        <f t="shared" si="21"/>
        <v>0</v>
      </c>
    </row>
    <row r="671" spans="1:7" x14ac:dyDescent="0.35">
      <c r="A671" s="21">
        <v>10</v>
      </c>
      <c r="B671" s="38" t="s">
        <v>135</v>
      </c>
      <c r="C671" s="38" t="s">
        <v>68</v>
      </c>
      <c r="D671" s="39">
        <v>0</v>
      </c>
      <c r="E671" s="39">
        <v>0</v>
      </c>
      <c r="F671" s="18">
        <f t="shared" si="20"/>
        <v>0</v>
      </c>
      <c r="G671" s="18">
        <f t="shared" si="21"/>
        <v>0</v>
      </c>
    </row>
    <row r="672" spans="1:7" x14ac:dyDescent="0.35">
      <c r="A672" s="21">
        <v>11</v>
      </c>
      <c r="B672" s="38" t="s">
        <v>135</v>
      </c>
      <c r="C672" s="38" t="s">
        <v>68</v>
      </c>
      <c r="D672" s="39">
        <v>0</v>
      </c>
      <c r="E672" s="39">
        <v>0</v>
      </c>
      <c r="F672" s="18">
        <f t="shared" si="20"/>
        <v>0</v>
      </c>
      <c r="G672" s="18">
        <f t="shared" si="21"/>
        <v>0</v>
      </c>
    </row>
    <row r="673" spans="1:7" x14ac:dyDescent="0.35">
      <c r="A673" s="21">
        <v>12</v>
      </c>
      <c r="B673" s="38" t="s">
        <v>135</v>
      </c>
      <c r="C673" s="38" t="s">
        <v>68</v>
      </c>
      <c r="D673" s="39">
        <v>0</v>
      </c>
      <c r="E673" s="39">
        <v>0</v>
      </c>
      <c r="F673" s="18">
        <f t="shared" si="20"/>
        <v>0</v>
      </c>
      <c r="G673" s="18">
        <f t="shared" si="21"/>
        <v>0</v>
      </c>
    </row>
    <row r="674" spans="1:7" x14ac:dyDescent="0.35">
      <c r="A674" s="21">
        <v>1</v>
      </c>
      <c r="B674" s="38" t="s">
        <v>139</v>
      </c>
      <c r="C674" s="38" t="s">
        <v>62</v>
      </c>
      <c r="D674" s="39">
        <v>125</v>
      </c>
      <c r="E674" s="39">
        <v>34</v>
      </c>
      <c r="F674" s="18">
        <f t="shared" si="20"/>
        <v>0</v>
      </c>
      <c r="G674" s="18">
        <f t="shared" si="21"/>
        <v>91</v>
      </c>
    </row>
    <row r="675" spans="1:7" x14ac:dyDescent="0.35">
      <c r="A675" s="21">
        <v>2</v>
      </c>
      <c r="B675" s="38" t="s">
        <v>139</v>
      </c>
      <c r="C675" s="38" t="s">
        <v>62</v>
      </c>
      <c r="D675" s="39">
        <v>0</v>
      </c>
      <c r="E675" s="39">
        <v>38</v>
      </c>
      <c r="F675" s="18">
        <f t="shared" si="20"/>
        <v>91</v>
      </c>
      <c r="G675" s="18">
        <f t="shared" si="21"/>
        <v>53</v>
      </c>
    </row>
    <row r="676" spans="1:7" x14ac:dyDescent="0.35">
      <c r="A676" s="21">
        <v>3</v>
      </c>
      <c r="B676" s="38" t="s">
        <v>139</v>
      </c>
      <c r="C676" s="38" t="s">
        <v>62</v>
      </c>
      <c r="D676" s="39">
        <v>0</v>
      </c>
      <c r="E676" s="39">
        <v>22</v>
      </c>
      <c r="F676" s="18">
        <f t="shared" si="20"/>
        <v>53</v>
      </c>
      <c r="G676" s="18">
        <f t="shared" si="21"/>
        <v>31</v>
      </c>
    </row>
    <row r="677" spans="1:7" x14ac:dyDescent="0.35">
      <c r="A677" s="21">
        <v>4</v>
      </c>
      <c r="B677" s="38" t="s">
        <v>139</v>
      </c>
      <c r="C677" s="38" t="s">
        <v>62</v>
      </c>
      <c r="D677" s="39">
        <v>0</v>
      </c>
      <c r="E677" s="39">
        <v>23</v>
      </c>
      <c r="F677" s="18">
        <f t="shared" si="20"/>
        <v>31</v>
      </c>
      <c r="G677" s="18">
        <f t="shared" si="21"/>
        <v>8</v>
      </c>
    </row>
    <row r="678" spans="1:7" x14ac:dyDescent="0.35">
      <c r="A678" s="21">
        <v>5</v>
      </c>
      <c r="B678" s="38" t="s">
        <v>139</v>
      </c>
      <c r="C678" s="38" t="s">
        <v>62</v>
      </c>
      <c r="D678" s="39">
        <v>0</v>
      </c>
      <c r="E678" s="39">
        <v>8</v>
      </c>
      <c r="F678" s="18">
        <f t="shared" si="20"/>
        <v>8</v>
      </c>
      <c r="G678" s="18">
        <f t="shared" si="21"/>
        <v>0</v>
      </c>
    </row>
    <row r="679" spans="1:7" x14ac:dyDescent="0.35">
      <c r="A679" s="21">
        <v>6</v>
      </c>
      <c r="B679" s="38" t="s">
        <v>139</v>
      </c>
      <c r="C679" s="38" t="s">
        <v>62</v>
      </c>
      <c r="D679" s="39">
        <v>0</v>
      </c>
      <c r="E679" s="39">
        <v>0</v>
      </c>
      <c r="F679" s="18">
        <f t="shared" si="20"/>
        <v>0</v>
      </c>
      <c r="G679" s="18">
        <f t="shared" si="21"/>
        <v>0</v>
      </c>
    </row>
    <row r="680" spans="1:7" x14ac:dyDescent="0.35">
      <c r="A680" s="21">
        <v>7</v>
      </c>
      <c r="B680" s="38" t="s">
        <v>139</v>
      </c>
      <c r="C680" s="38" t="s">
        <v>62</v>
      </c>
      <c r="D680" s="39">
        <v>0</v>
      </c>
      <c r="E680" s="39">
        <v>0</v>
      </c>
      <c r="F680" s="18">
        <f t="shared" si="20"/>
        <v>0</v>
      </c>
      <c r="G680" s="18">
        <f t="shared" si="21"/>
        <v>0</v>
      </c>
    </row>
    <row r="681" spans="1:7" x14ac:dyDescent="0.35">
      <c r="A681" s="21">
        <v>8</v>
      </c>
      <c r="B681" s="38" t="s">
        <v>139</v>
      </c>
      <c r="C681" s="38" t="s">
        <v>62</v>
      </c>
      <c r="D681" s="39">
        <v>0</v>
      </c>
      <c r="E681" s="39">
        <v>0</v>
      </c>
      <c r="F681" s="18">
        <f t="shared" si="20"/>
        <v>0</v>
      </c>
      <c r="G681" s="18">
        <f t="shared" si="21"/>
        <v>0</v>
      </c>
    </row>
    <row r="682" spans="1:7" x14ac:dyDescent="0.35">
      <c r="A682" s="21">
        <v>9</v>
      </c>
      <c r="B682" s="38" t="s">
        <v>139</v>
      </c>
      <c r="C682" s="38" t="s">
        <v>62</v>
      </c>
      <c r="D682" s="39">
        <v>0</v>
      </c>
      <c r="E682" s="39">
        <v>0</v>
      </c>
      <c r="F682" s="18">
        <f t="shared" si="20"/>
        <v>0</v>
      </c>
      <c r="G682" s="18">
        <f t="shared" si="21"/>
        <v>0</v>
      </c>
    </row>
    <row r="683" spans="1:7" x14ac:dyDescent="0.35">
      <c r="A683" s="21">
        <v>10</v>
      </c>
      <c r="B683" s="38" t="s">
        <v>139</v>
      </c>
      <c r="C683" s="38" t="s">
        <v>62</v>
      </c>
      <c r="D683" s="39">
        <v>0</v>
      </c>
      <c r="E683" s="39">
        <v>0</v>
      </c>
      <c r="F683" s="18">
        <f t="shared" si="20"/>
        <v>0</v>
      </c>
      <c r="G683" s="18">
        <f t="shared" si="21"/>
        <v>0</v>
      </c>
    </row>
    <row r="684" spans="1:7" x14ac:dyDescent="0.35">
      <c r="A684" s="21">
        <v>11</v>
      </c>
      <c r="B684" s="38" t="s">
        <v>139</v>
      </c>
      <c r="C684" s="38" t="s">
        <v>62</v>
      </c>
      <c r="D684" s="39">
        <v>0</v>
      </c>
      <c r="E684" s="39">
        <v>0</v>
      </c>
      <c r="F684" s="18">
        <f t="shared" si="20"/>
        <v>0</v>
      </c>
      <c r="G684" s="18">
        <f t="shared" si="21"/>
        <v>0</v>
      </c>
    </row>
    <row r="685" spans="1:7" x14ac:dyDescent="0.35">
      <c r="A685" s="21">
        <v>12</v>
      </c>
      <c r="B685" s="38" t="s">
        <v>139</v>
      </c>
      <c r="C685" s="38" t="s">
        <v>62</v>
      </c>
      <c r="D685" s="39">
        <v>0</v>
      </c>
      <c r="E685" s="39">
        <v>0</v>
      </c>
      <c r="F685" s="18">
        <f t="shared" si="20"/>
        <v>0</v>
      </c>
      <c r="G685" s="18">
        <f t="shared" si="21"/>
        <v>0</v>
      </c>
    </row>
    <row r="686" spans="1:7" x14ac:dyDescent="0.35">
      <c r="A686" s="21">
        <v>1</v>
      </c>
      <c r="B686" s="38" t="s">
        <v>139</v>
      </c>
      <c r="C686" s="38" t="s">
        <v>64</v>
      </c>
      <c r="D686" s="39">
        <v>166</v>
      </c>
      <c r="E686" s="39">
        <v>51</v>
      </c>
      <c r="F686" s="18">
        <f t="shared" si="20"/>
        <v>0</v>
      </c>
      <c r="G686" s="18">
        <f t="shared" si="21"/>
        <v>115</v>
      </c>
    </row>
    <row r="687" spans="1:7" x14ac:dyDescent="0.35">
      <c r="A687" s="21">
        <v>2</v>
      </c>
      <c r="B687" s="38" t="s">
        <v>139</v>
      </c>
      <c r="C687" s="38" t="s">
        <v>64</v>
      </c>
      <c r="D687" s="39">
        <v>0</v>
      </c>
      <c r="E687" s="39">
        <v>37</v>
      </c>
      <c r="F687" s="18">
        <f t="shared" si="20"/>
        <v>115</v>
      </c>
      <c r="G687" s="18">
        <f t="shared" si="21"/>
        <v>78</v>
      </c>
    </row>
    <row r="688" spans="1:7" x14ac:dyDescent="0.35">
      <c r="A688" s="21">
        <v>3</v>
      </c>
      <c r="B688" s="38" t="s">
        <v>139</v>
      </c>
      <c r="C688" s="38" t="s">
        <v>64</v>
      </c>
      <c r="D688" s="39">
        <v>0</v>
      </c>
      <c r="E688" s="39">
        <v>41</v>
      </c>
      <c r="F688" s="18">
        <f t="shared" si="20"/>
        <v>78</v>
      </c>
      <c r="G688" s="18">
        <f t="shared" si="21"/>
        <v>37</v>
      </c>
    </row>
    <row r="689" spans="1:7" x14ac:dyDescent="0.35">
      <c r="A689" s="21">
        <v>4</v>
      </c>
      <c r="B689" s="38" t="s">
        <v>139</v>
      </c>
      <c r="C689" s="38" t="s">
        <v>64</v>
      </c>
      <c r="D689" s="39">
        <v>0</v>
      </c>
      <c r="E689" s="39">
        <v>21</v>
      </c>
      <c r="F689" s="18">
        <f t="shared" si="20"/>
        <v>37</v>
      </c>
      <c r="G689" s="18">
        <f t="shared" si="21"/>
        <v>16</v>
      </c>
    </row>
    <row r="690" spans="1:7" x14ac:dyDescent="0.35">
      <c r="A690" s="21">
        <v>5</v>
      </c>
      <c r="B690" s="38" t="s">
        <v>139</v>
      </c>
      <c r="C690" s="38" t="s">
        <v>64</v>
      </c>
      <c r="D690" s="39">
        <v>0</v>
      </c>
      <c r="E690" s="39">
        <v>15</v>
      </c>
      <c r="F690" s="18">
        <f t="shared" si="20"/>
        <v>16</v>
      </c>
      <c r="G690" s="18">
        <f t="shared" si="21"/>
        <v>1</v>
      </c>
    </row>
    <row r="691" spans="1:7" x14ac:dyDescent="0.35">
      <c r="A691" s="21">
        <v>6</v>
      </c>
      <c r="B691" s="38" t="s">
        <v>139</v>
      </c>
      <c r="C691" s="38" t="s">
        <v>64</v>
      </c>
      <c r="D691" s="39">
        <v>0</v>
      </c>
      <c r="E691" s="39">
        <v>1</v>
      </c>
      <c r="F691" s="18">
        <f t="shared" si="20"/>
        <v>1</v>
      </c>
      <c r="G691" s="18">
        <f t="shared" si="21"/>
        <v>0</v>
      </c>
    </row>
    <row r="692" spans="1:7" x14ac:dyDescent="0.35">
      <c r="A692" s="21">
        <v>7</v>
      </c>
      <c r="B692" s="38" t="s">
        <v>139</v>
      </c>
      <c r="C692" s="38" t="s">
        <v>64</v>
      </c>
      <c r="D692" s="39">
        <v>0</v>
      </c>
      <c r="E692" s="39">
        <v>0</v>
      </c>
      <c r="F692" s="18">
        <f t="shared" si="20"/>
        <v>0</v>
      </c>
      <c r="G692" s="18">
        <f t="shared" si="21"/>
        <v>0</v>
      </c>
    </row>
    <row r="693" spans="1:7" x14ac:dyDescent="0.35">
      <c r="A693" s="21">
        <v>8</v>
      </c>
      <c r="B693" s="38" t="s">
        <v>139</v>
      </c>
      <c r="C693" s="38" t="s">
        <v>64</v>
      </c>
      <c r="D693" s="39">
        <v>0</v>
      </c>
      <c r="E693" s="39">
        <v>0</v>
      </c>
      <c r="F693" s="18">
        <f t="shared" si="20"/>
        <v>0</v>
      </c>
      <c r="G693" s="18">
        <f t="shared" si="21"/>
        <v>0</v>
      </c>
    </row>
    <row r="694" spans="1:7" x14ac:dyDescent="0.35">
      <c r="A694" s="21">
        <v>9</v>
      </c>
      <c r="B694" s="38" t="s">
        <v>139</v>
      </c>
      <c r="C694" s="38" t="s">
        <v>64</v>
      </c>
      <c r="D694" s="39">
        <v>0</v>
      </c>
      <c r="E694" s="39">
        <v>0</v>
      </c>
      <c r="F694" s="18">
        <f t="shared" si="20"/>
        <v>0</v>
      </c>
      <c r="G694" s="18">
        <f t="shared" si="21"/>
        <v>0</v>
      </c>
    </row>
    <row r="695" spans="1:7" x14ac:dyDescent="0.35">
      <c r="A695" s="21">
        <v>10</v>
      </c>
      <c r="B695" s="38" t="s">
        <v>139</v>
      </c>
      <c r="C695" s="38" t="s">
        <v>64</v>
      </c>
      <c r="D695" s="39">
        <v>0</v>
      </c>
      <c r="E695" s="39">
        <v>0</v>
      </c>
      <c r="F695" s="18">
        <f t="shared" si="20"/>
        <v>0</v>
      </c>
      <c r="G695" s="18">
        <f t="shared" si="21"/>
        <v>0</v>
      </c>
    </row>
    <row r="696" spans="1:7" x14ac:dyDescent="0.35">
      <c r="A696" s="21">
        <v>11</v>
      </c>
      <c r="B696" s="38" t="s">
        <v>139</v>
      </c>
      <c r="C696" s="38" t="s">
        <v>64</v>
      </c>
      <c r="D696" s="39">
        <v>0</v>
      </c>
      <c r="E696" s="39">
        <v>0</v>
      </c>
      <c r="F696" s="18">
        <f t="shared" si="20"/>
        <v>0</v>
      </c>
      <c r="G696" s="18">
        <f t="shared" si="21"/>
        <v>0</v>
      </c>
    </row>
    <row r="697" spans="1:7" x14ac:dyDescent="0.35">
      <c r="A697" s="21">
        <v>12</v>
      </c>
      <c r="B697" s="38" t="s">
        <v>139</v>
      </c>
      <c r="C697" s="38" t="s">
        <v>64</v>
      </c>
      <c r="D697" s="39">
        <v>0</v>
      </c>
      <c r="E697" s="39">
        <v>0</v>
      </c>
      <c r="F697" s="18">
        <f t="shared" si="20"/>
        <v>0</v>
      </c>
      <c r="G697" s="18">
        <f t="shared" si="21"/>
        <v>0</v>
      </c>
    </row>
    <row r="698" spans="1:7" x14ac:dyDescent="0.35">
      <c r="A698" s="21">
        <v>1</v>
      </c>
      <c r="B698" s="38" t="s">
        <v>139</v>
      </c>
      <c r="C698" s="38" t="s">
        <v>66</v>
      </c>
      <c r="D698" s="39">
        <v>107</v>
      </c>
      <c r="E698" s="39">
        <v>40</v>
      </c>
      <c r="F698" s="18">
        <f t="shared" si="20"/>
        <v>0</v>
      </c>
      <c r="G698" s="18">
        <f t="shared" si="21"/>
        <v>67</v>
      </c>
    </row>
    <row r="699" spans="1:7" x14ac:dyDescent="0.35">
      <c r="A699" s="21">
        <v>2</v>
      </c>
      <c r="B699" s="38" t="s">
        <v>139</v>
      </c>
      <c r="C699" s="38" t="s">
        <v>66</v>
      </c>
      <c r="D699" s="39">
        <v>0</v>
      </c>
      <c r="E699" s="39">
        <v>35</v>
      </c>
      <c r="F699" s="18">
        <f t="shared" si="20"/>
        <v>67</v>
      </c>
      <c r="G699" s="18">
        <f t="shared" si="21"/>
        <v>32</v>
      </c>
    </row>
    <row r="700" spans="1:7" x14ac:dyDescent="0.35">
      <c r="A700" s="21">
        <v>3</v>
      </c>
      <c r="B700" s="38" t="s">
        <v>139</v>
      </c>
      <c r="C700" s="38" t="s">
        <v>66</v>
      </c>
      <c r="D700" s="39">
        <v>0</v>
      </c>
      <c r="E700" s="39">
        <v>18</v>
      </c>
      <c r="F700" s="18">
        <f t="shared" si="20"/>
        <v>32</v>
      </c>
      <c r="G700" s="18">
        <f t="shared" si="21"/>
        <v>14</v>
      </c>
    </row>
    <row r="701" spans="1:7" x14ac:dyDescent="0.35">
      <c r="A701" s="21">
        <v>4</v>
      </c>
      <c r="B701" s="38" t="s">
        <v>139</v>
      </c>
      <c r="C701" s="38" t="s">
        <v>66</v>
      </c>
      <c r="D701" s="39">
        <v>0</v>
      </c>
      <c r="E701" s="39">
        <v>14</v>
      </c>
      <c r="F701" s="18">
        <f t="shared" si="20"/>
        <v>14</v>
      </c>
      <c r="G701" s="18">
        <f t="shared" si="21"/>
        <v>0</v>
      </c>
    </row>
    <row r="702" spans="1:7" x14ac:dyDescent="0.35">
      <c r="A702" s="21">
        <v>5</v>
      </c>
      <c r="B702" s="38" t="s">
        <v>139</v>
      </c>
      <c r="C702" s="38" t="s">
        <v>66</v>
      </c>
      <c r="D702" s="39">
        <v>0</v>
      </c>
      <c r="E702" s="39">
        <v>0</v>
      </c>
      <c r="F702" s="18">
        <f t="shared" si="20"/>
        <v>0</v>
      </c>
      <c r="G702" s="18">
        <f t="shared" si="21"/>
        <v>0</v>
      </c>
    </row>
    <row r="703" spans="1:7" x14ac:dyDescent="0.35">
      <c r="A703" s="21">
        <v>6</v>
      </c>
      <c r="B703" s="38" t="s">
        <v>139</v>
      </c>
      <c r="C703" s="38" t="s">
        <v>66</v>
      </c>
      <c r="D703" s="39">
        <v>0</v>
      </c>
      <c r="E703" s="39">
        <v>0</v>
      </c>
      <c r="F703" s="18">
        <f t="shared" si="20"/>
        <v>0</v>
      </c>
      <c r="G703" s="18">
        <f t="shared" si="21"/>
        <v>0</v>
      </c>
    </row>
    <row r="704" spans="1:7" x14ac:dyDescent="0.35">
      <c r="A704" s="21">
        <v>7</v>
      </c>
      <c r="B704" s="38" t="s">
        <v>139</v>
      </c>
      <c r="C704" s="38" t="s">
        <v>66</v>
      </c>
      <c r="D704" s="39">
        <v>0</v>
      </c>
      <c r="E704" s="39">
        <v>0</v>
      </c>
      <c r="F704" s="18">
        <f t="shared" si="20"/>
        <v>0</v>
      </c>
      <c r="G704" s="18">
        <f t="shared" si="21"/>
        <v>0</v>
      </c>
    </row>
    <row r="705" spans="1:7" x14ac:dyDescent="0.35">
      <c r="A705" s="21">
        <v>8</v>
      </c>
      <c r="B705" s="38" t="s">
        <v>139</v>
      </c>
      <c r="C705" s="38" t="s">
        <v>66</v>
      </c>
      <c r="D705" s="39">
        <v>0</v>
      </c>
      <c r="E705" s="39">
        <v>0</v>
      </c>
      <c r="F705" s="18">
        <f t="shared" si="20"/>
        <v>0</v>
      </c>
      <c r="G705" s="18">
        <f t="shared" si="21"/>
        <v>0</v>
      </c>
    </row>
    <row r="706" spans="1:7" x14ac:dyDescent="0.35">
      <c r="A706" s="21">
        <v>9</v>
      </c>
      <c r="B706" s="38" t="s">
        <v>139</v>
      </c>
      <c r="C706" s="38" t="s">
        <v>66</v>
      </c>
      <c r="D706" s="39">
        <v>0</v>
      </c>
      <c r="E706" s="39">
        <v>0</v>
      </c>
      <c r="F706" s="18">
        <f t="shared" ref="F706:F769" si="22">IF(A706=1,0,G705)</f>
        <v>0</v>
      </c>
      <c r="G706" s="18">
        <f t="shared" ref="G706:G769" si="23">F706+D706-E706</f>
        <v>0</v>
      </c>
    </row>
    <row r="707" spans="1:7" x14ac:dyDescent="0.35">
      <c r="A707" s="21">
        <v>10</v>
      </c>
      <c r="B707" s="38" t="s">
        <v>139</v>
      </c>
      <c r="C707" s="38" t="s">
        <v>66</v>
      </c>
      <c r="D707" s="39">
        <v>0</v>
      </c>
      <c r="E707" s="39">
        <v>0</v>
      </c>
      <c r="F707" s="18">
        <f t="shared" si="22"/>
        <v>0</v>
      </c>
      <c r="G707" s="18">
        <f t="shared" si="23"/>
        <v>0</v>
      </c>
    </row>
    <row r="708" spans="1:7" x14ac:dyDescent="0.35">
      <c r="A708" s="21">
        <v>11</v>
      </c>
      <c r="B708" s="38" t="s">
        <v>139</v>
      </c>
      <c r="C708" s="38" t="s">
        <v>66</v>
      </c>
      <c r="D708" s="39">
        <v>0</v>
      </c>
      <c r="E708" s="39">
        <v>0</v>
      </c>
      <c r="F708" s="18">
        <f t="shared" si="22"/>
        <v>0</v>
      </c>
      <c r="G708" s="18">
        <f t="shared" si="23"/>
        <v>0</v>
      </c>
    </row>
    <row r="709" spans="1:7" x14ac:dyDescent="0.35">
      <c r="A709" s="21">
        <v>12</v>
      </c>
      <c r="B709" s="38" t="s">
        <v>139</v>
      </c>
      <c r="C709" s="38" t="s">
        <v>66</v>
      </c>
      <c r="D709" s="39">
        <v>0</v>
      </c>
      <c r="E709" s="39">
        <v>0</v>
      </c>
      <c r="F709" s="18">
        <f t="shared" si="22"/>
        <v>0</v>
      </c>
      <c r="G709" s="18">
        <f t="shared" si="23"/>
        <v>0</v>
      </c>
    </row>
    <row r="710" spans="1:7" x14ac:dyDescent="0.35">
      <c r="A710" s="21">
        <v>1</v>
      </c>
      <c r="B710" s="38" t="s">
        <v>139</v>
      </c>
      <c r="C710" s="38" t="s">
        <v>68</v>
      </c>
      <c r="D710" s="39">
        <v>129</v>
      </c>
      <c r="E710" s="39">
        <v>48</v>
      </c>
      <c r="F710" s="18">
        <f t="shared" si="22"/>
        <v>0</v>
      </c>
      <c r="G710" s="18">
        <f t="shared" si="23"/>
        <v>81</v>
      </c>
    </row>
    <row r="711" spans="1:7" x14ac:dyDescent="0.35">
      <c r="A711" s="21">
        <v>2</v>
      </c>
      <c r="B711" s="38" t="s">
        <v>139</v>
      </c>
      <c r="C711" s="38" t="s">
        <v>68</v>
      </c>
      <c r="D711" s="39">
        <v>0</v>
      </c>
      <c r="E711" s="39">
        <v>47</v>
      </c>
      <c r="F711" s="18">
        <f t="shared" si="22"/>
        <v>81</v>
      </c>
      <c r="G711" s="18">
        <f t="shared" si="23"/>
        <v>34</v>
      </c>
    </row>
    <row r="712" spans="1:7" x14ac:dyDescent="0.35">
      <c r="A712" s="21">
        <v>3</v>
      </c>
      <c r="B712" s="38" t="s">
        <v>139</v>
      </c>
      <c r="C712" s="38" t="s">
        <v>68</v>
      </c>
      <c r="D712" s="39">
        <v>0</v>
      </c>
      <c r="E712" s="39">
        <v>31</v>
      </c>
      <c r="F712" s="18">
        <f t="shared" si="22"/>
        <v>34</v>
      </c>
      <c r="G712" s="18">
        <f t="shared" si="23"/>
        <v>3</v>
      </c>
    </row>
    <row r="713" spans="1:7" x14ac:dyDescent="0.35">
      <c r="A713" s="21">
        <v>4</v>
      </c>
      <c r="B713" s="38" t="s">
        <v>139</v>
      </c>
      <c r="C713" s="38" t="s">
        <v>68</v>
      </c>
      <c r="D713" s="39">
        <v>0</v>
      </c>
      <c r="E713" s="39">
        <v>3</v>
      </c>
      <c r="F713" s="18">
        <f t="shared" si="22"/>
        <v>3</v>
      </c>
      <c r="G713" s="18">
        <f t="shared" si="23"/>
        <v>0</v>
      </c>
    </row>
    <row r="714" spans="1:7" x14ac:dyDescent="0.35">
      <c r="A714" s="21">
        <v>5</v>
      </c>
      <c r="B714" s="38" t="s">
        <v>139</v>
      </c>
      <c r="C714" s="38" t="s">
        <v>68</v>
      </c>
      <c r="D714" s="39">
        <v>0</v>
      </c>
      <c r="E714" s="39">
        <v>0</v>
      </c>
      <c r="F714" s="18">
        <f t="shared" si="22"/>
        <v>0</v>
      </c>
      <c r="G714" s="18">
        <f t="shared" si="23"/>
        <v>0</v>
      </c>
    </row>
    <row r="715" spans="1:7" x14ac:dyDescent="0.35">
      <c r="A715" s="21">
        <v>6</v>
      </c>
      <c r="B715" s="38" t="s">
        <v>139</v>
      </c>
      <c r="C715" s="38" t="s">
        <v>68</v>
      </c>
      <c r="D715" s="39">
        <v>0</v>
      </c>
      <c r="E715" s="39">
        <v>0</v>
      </c>
      <c r="F715" s="18">
        <f t="shared" si="22"/>
        <v>0</v>
      </c>
      <c r="G715" s="18">
        <f t="shared" si="23"/>
        <v>0</v>
      </c>
    </row>
    <row r="716" spans="1:7" x14ac:dyDescent="0.35">
      <c r="A716" s="21">
        <v>7</v>
      </c>
      <c r="B716" s="38" t="s">
        <v>139</v>
      </c>
      <c r="C716" s="38" t="s">
        <v>68</v>
      </c>
      <c r="D716" s="39">
        <v>0</v>
      </c>
      <c r="E716" s="39">
        <v>0</v>
      </c>
      <c r="F716" s="18">
        <f t="shared" si="22"/>
        <v>0</v>
      </c>
      <c r="G716" s="18">
        <f t="shared" si="23"/>
        <v>0</v>
      </c>
    </row>
    <row r="717" spans="1:7" x14ac:dyDescent="0.35">
      <c r="A717" s="21">
        <v>8</v>
      </c>
      <c r="B717" s="38" t="s">
        <v>139</v>
      </c>
      <c r="C717" s="38" t="s">
        <v>68</v>
      </c>
      <c r="D717" s="39">
        <v>0</v>
      </c>
      <c r="E717" s="39">
        <v>0</v>
      </c>
      <c r="F717" s="18">
        <f t="shared" si="22"/>
        <v>0</v>
      </c>
      <c r="G717" s="18">
        <f t="shared" si="23"/>
        <v>0</v>
      </c>
    </row>
    <row r="718" spans="1:7" x14ac:dyDescent="0.35">
      <c r="A718" s="21">
        <v>9</v>
      </c>
      <c r="B718" s="38" t="s">
        <v>139</v>
      </c>
      <c r="C718" s="38" t="s">
        <v>68</v>
      </c>
      <c r="D718" s="39">
        <v>0</v>
      </c>
      <c r="E718" s="39">
        <v>0</v>
      </c>
      <c r="F718" s="18">
        <f t="shared" si="22"/>
        <v>0</v>
      </c>
      <c r="G718" s="18">
        <f t="shared" si="23"/>
        <v>0</v>
      </c>
    </row>
    <row r="719" spans="1:7" x14ac:dyDescent="0.35">
      <c r="A719" s="21">
        <v>10</v>
      </c>
      <c r="B719" s="38" t="s">
        <v>139</v>
      </c>
      <c r="C719" s="38" t="s">
        <v>68</v>
      </c>
      <c r="D719" s="39">
        <v>0</v>
      </c>
      <c r="E719" s="39">
        <v>0</v>
      </c>
      <c r="F719" s="18">
        <f t="shared" si="22"/>
        <v>0</v>
      </c>
      <c r="G719" s="18">
        <f t="shared" si="23"/>
        <v>0</v>
      </c>
    </row>
    <row r="720" spans="1:7" x14ac:dyDescent="0.35">
      <c r="A720" s="21">
        <v>11</v>
      </c>
      <c r="B720" s="38" t="s">
        <v>139</v>
      </c>
      <c r="C720" s="38" t="s">
        <v>68</v>
      </c>
      <c r="D720" s="39">
        <v>0</v>
      </c>
      <c r="E720" s="39">
        <v>0</v>
      </c>
      <c r="F720" s="18">
        <f t="shared" si="22"/>
        <v>0</v>
      </c>
      <c r="G720" s="18">
        <f t="shared" si="23"/>
        <v>0</v>
      </c>
    </row>
    <row r="721" spans="1:7" x14ac:dyDescent="0.35">
      <c r="A721" s="21">
        <v>12</v>
      </c>
      <c r="B721" s="38" t="s">
        <v>139</v>
      </c>
      <c r="C721" s="38" t="s">
        <v>68</v>
      </c>
      <c r="D721" s="39">
        <v>0</v>
      </c>
      <c r="E721" s="39">
        <v>0</v>
      </c>
      <c r="F721" s="18">
        <f t="shared" si="22"/>
        <v>0</v>
      </c>
      <c r="G721" s="18">
        <f t="shared" si="23"/>
        <v>0</v>
      </c>
    </row>
    <row r="722" spans="1:7" x14ac:dyDescent="0.35">
      <c r="A722" s="21">
        <v>1</v>
      </c>
      <c r="B722" s="38" t="s">
        <v>141</v>
      </c>
      <c r="C722" s="38" t="s">
        <v>62</v>
      </c>
      <c r="D722" s="39">
        <v>103</v>
      </c>
      <c r="E722" s="39">
        <v>32</v>
      </c>
      <c r="F722" s="18">
        <f t="shared" si="22"/>
        <v>0</v>
      </c>
      <c r="G722" s="18">
        <f t="shared" si="23"/>
        <v>71</v>
      </c>
    </row>
    <row r="723" spans="1:7" x14ac:dyDescent="0.35">
      <c r="A723" s="21">
        <v>2</v>
      </c>
      <c r="B723" s="38" t="s">
        <v>141</v>
      </c>
      <c r="C723" s="38" t="s">
        <v>62</v>
      </c>
      <c r="D723" s="39">
        <v>0</v>
      </c>
      <c r="E723" s="39">
        <v>19</v>
      </c>
      <c r="F723" s="18">
        <f t="shared" si="22"/>
        <v>71</v>
      </c>
      <c r="G723" s="18">
        <f t="shared" si="23"/>
        <v>52</v>
      </c>
    </row>
    <row r="724" spans="1:7" x14ac:dyDescent="0.35">
      <c r="A724" s="21">
        <v>3</v>
      </c>
      <c r="B724" s="38" t="s">
        <v>141</v>
      </c>
      <c r="C724" s="38" t="s">
        <v>62</v>
      </c>
      <c r="D724" s="39">
        <v>0</v>
      </c>
      <c r="E724" s="39">
        <v>18</v>
      </c>
      <c r="F724" s="18">
        <f t="shared" si="22"/>
        <v>52</v>
      </c>
      <c r="G724" s="18">
        <f t="shared" si="23"/>
        <v>34</v>
      </c>
    </row>
    <row r="725" spans="1:7" x14ac:dyDescent="0.35">
      <c r="A725" s="21">
        <v>4</v>
      </c>
      <c r="B725" s="38" t="s">
        <v>141</v>
      </c>
      <c r="C725" s="38" t="s">
        <v>62</v>
      </c>
      <c r="D725" s="39">
        <v>0</v>
      </c>
      <c r="E725" s="39">
        <v>11</v>
      </c>
      <c r="F725" s="18">
        <f t="shared" si="22"/>
        <v>34</v>
      </c>
      <c r="G725" s="18">
        <f t="shared" si="23"/>
        <v>23</v>
      </c>
    </row>
    <row r="726" spans="1:7" x14ac:dyDescent="0.35">
      <c r="A726" s="21">
        <v>5</v>
      </c>
      <c r="B726" s="38" t="s">
        <v>141</v>
      </c>
      <c r="C726" s="38" t="s">
        <v>62</v>
      </c>
      <c r="D726" s="39">
        <v>0</v>
      </c>
      <c r="E726" s="39">
        <v>10</v>
      </c>
      <c r="F726" s="18">
        <f t="shared" si="22"/>
        <v>23</v>
      </c>
      <c r="G726" s="18">
        <f t="shared" si="23"/>
        <v>13</v>
      </c>
    </row>
    <row r="727" spans="1:7" x14ac:dyDescent="0.35">
      <c r="A727" s="21">
        <v>6</v>
      </c>
      <c r="B727" s="38" t="s">
        <v>141</v>
      </c>
      <c r="C727" s="38" t="s">
        <v>62</v>
      </c>
      <c r="D727" s="39">
        <v>0</v>
      </c>
      <c r="E727" s="39">
        <v>6</v>
      </c>
      <c r="F727" s="18">
        <f t="shared" si="22"/>
        <v>13</v>
      </c>
      <c r="G727" s="18">
        <f t="shared" si="23"/>
        <v>7</v>
      </c>
    </row>
    <row r="728" spans="1:7" x14ac:dyDescent="0.35">
      <c r="A728" s="21">
        <v>7</v>
      </c>
      <c r="B728" s="38" t="s">
        <v>141</v>
      </c>
      <c r="C728" s="38" t="s">
        <v>62</v>
      </c>
      <c r="D728" s="39">
        <v>0</v>
      </c>
      <c r="E728" s="39">
        <v>7</v>
      </c>
      <c r="F728" s="18">
        <f t="shared" si="22"/>
        <v>7</v>
      </c>
      <c r="G728" s="18">
        <f t="shared" si="23"/>
        <v>0</v>
      </c>
    </row>
    <row r="729" spans="1:7" x14ac:dyDescent="0.35">
      <c r="A729" s="21">
        <v>8</v>
      </c>
      <c r="B729" s="38" t="s">
        <v>141</v>
      </c>
      <c r="C729" s="38" t="s">
        <v>62</v>
      </c>
      <c r="D729" s="39">
        <v>0</v>
      </c>
      <c r="E729" s="39">
        <v>0</v>
      </c>
      <c r="F729" s="18">
        <f t="shared" si="22"/>
        <v>0</v>
      </c>
      <c r="G729" s="18">
        <f t="shared" si="23"/>
        <v>0</v>
      </c>
    </row>
    <row r="730" spans="1:7" x14ac:dyDescent="0.35">
      <c r="A730" s="21">
        <v>9</v>
      </c>
      <c r="B730" s="38" t="s">
        <v>141</v>
      </c>
      <c r="C730" s="38" t="s">
        <v>62</v>
      </c>
      <c r="D730" s="39">
        <v>0</v>
      </c>
      <c r="E730" s="39">
        <v>0</v>
      </c>
      <c r="F730" s="18">
        <f t="shared" si="22"/>
        <v>0</v>
      </c>
      <c r="G730" s="18">
        <f t="shared" si="23"/>
        <v>0</v>
      </c>
    </row>
    <row r="731" spans="1:7" x14ac:dyDescent="0.35">
      <c r="A731" s="21">
        <v>10</v>
      </c>
      <c r="B731" s="38" t="s">
        <v>141</v>
      </c>
      <c r="C731" s="38" t="s">
        <v>62</v>
      </c>
      <c r="D731" s="39">
        <v>0</v>
      </c>
      <c r="E731" s="39">
        <v>0</v>
      </c>
      <c r="F731" s="18">
        <f t="shared" si="22"/>
        <v>0</v>
      </c>
      <c r="G731" s="18">
        <f t="shared" si="23"/>
        <v>0</v>
      </c>
    </row>
    <row r="732" spans="1:7" x14ac:dyDescent="0.35">
      <c r="A732" s="21">
        <v>11</v>
      </c>
      <c r="B732" s="38" t="s">
        <v>141</v>
      </c>
      <c r="C732" s="38" t="s">
        <v>62</v>
      </c>
      <c r="D732" s="39">
        <v>0</v>
      </c>
      <c r="E732" s="39">
        <v>0</v>
      </c>
      <c r="F732" s="18">
        <f t="shared" si="22"/>
        <v>0</v>
      </c>
      <c r="G732" s="18">
        <f t="shared" si="23"/>
        <v>0</v>
      </c>
    </row>
    <row r="733" spans="1:7" x14ac:dyDescent="0.35">
      <c r="A733" s="21">
        <v>12</v>
      </c>
      <c r="B733" s="38" t="s">
        <v>141</v>
      </c>
      <c r="C733" s="38" t="s">
        <v>62</v>
      </c>
      <c r="D733" s="39">
        <v>0</v>
      </c>
      <c r="E733" s="39">
        <v>0</v>
      </c>
      <c r="F733" s="18">
        <f t="shared" si="22"/>
        <v>0</v>
      </c>
      <c r="G733" s="18">
        <f t="shared" si="23"/>
        <v>0</v>
      </c>
    </row>
    <row r="734" spans="1:7" x14ac:dyDescent="0.35">
      <c r="A734" s="21">
        <v>1</v>
      </c>
      <c r="B734" s="38" t="s">
        <v>141</v>
      </c>
      <c r="C734" s="38" t="s">
        <v>64</v>
      </c>
      <c r="D734" s="39">
        <v>132</v>
      </c>
      <c r="E734" s="39">
        <v>39</v>
      </c>
      <c r="F734" s="18">
        <f t="shared" si="22"/>
        <v>0</v>
      </c>
      <c r="G734" s="18">
        <f t="shared" si="23"/>
        <v>93</v>
      </c>
    </row>
    <row r="735" spans="1:7" x14ac:dyDescent="0.35">
      <c r="A735" s="21">
        <v>2</v>
      </c>
      <c r="B735" s="38" t="s">
        <v>141</v>
      </c>
      <c r="C735" s="38" t="s">
        <v>64</v>
      </c>
      <c r="D735" s="39">
        <v>0</v>
      </c>
      <c r="E735" s="39">
        <v>32</v>
      </c>
      <c r="F735" s="18">
        <f t="shared" si="22"/>
        <v>93</v>
      </c>
      <c r="G735" s="18">
        <f t="shared" si="23"/>
        <v>61</v>
      </c>
    </row>
    <row r="736" spans="1:7" x14ac:dyDescent="0.35">
      <c r="A736" s="21">
        <v>3</v>
      </c>
      <c r="B736" s="38" t="s">
        <v>141</v>
      </c>
      <c r="C736" s="38" t="s">
        <v>64</v>
      </c>
      <c r="D736" s="39">
        <v>0</v>
      </c>
      <c r="E736" s="39">
        <v>33</v>
      </c>
      <c r="F736" s="18">
        <f t="shared" si="22"/>
        <v>61</v>
      </c>
      <c r="G736" s="18">
        <f t="shared" si="23"/>
        <v>28</v>
      </c>
    </row>
    <row r="737" spans="1:7" x14ac:dyDescent="0.35">
      <c r="A737" s="21">
        <v>4</v>
      </c>
      <c r="B737" s="38" t="s">
        <v>141</v>
      </c>
      <c r="C737" s="38" t="s">
        <v>64</v>
      </c>
      <c r="D737" s="39">
        <v>0</v>
      </c>
      <c r="E737" s="39">
        <v>23</v>
      </c>
      <c r="F737" s="18">
        <f t="shared" si="22"/>
        <v>28</v>
      </c>
      <c r="G737" s="18">
        <f t="shared" si="23"/>
        <v>5</v>
      </c>
    </row>
    <row r="738" spans="1:7" x14ac:dyDescent="0.35">
      <c r="A738" s="21">
        <v>5</v>
      </c>
      <c r="B738" s="38" t="s">
        <v>141</v>
      </c>
      <c r="C738" s="38" t="s">
        <v>64</v>
      </c>
      <c r="D738" s="39">
        <v>0</v>
      </c>
      <c r="E738" s="39">
        <v>5</v>
      </c>
      <c r="F738" s="18">
        <f t="shared" si="22"/>
        <v>5</v>
      </c>
      <c r="G738" s="18">
        <f t="shared" si="23"/>
        <v>0</v>
      </c>
    </row>
    <row r="739" spans="1:7" x14ac:dyDescent="0.35">
      <c r="A739" s="21">
        <v>6</v>
      </c>
      <c r="B739" s="38" t="s">
        <v>141</v>
      </c>
      <c r="C739" s="38" t="s">
        <v>64</v>
      </c>
      <c r="D739" s="39">
        <v>0</v>
      </c>
      <c r="E739" s="39">
        <v>0</v>
      </c>
      <c r="F739" s="18">
        <f t="shared" si="22"/>
        <v>0</v>
      </c>
      <c r="G739" s="18">
        <f t="shared" si="23"/>
        <v>0</v>
      </c>
    </row>
    <row r="740" spans="1:7" x14ac:dyDescent="0.35">
      <c r="A740" s="21">
        <v>7</v>
      </c>
      <c r="B740" s="38" t="s">
        <v>141</v>
      </c>
      <c r="C740" s="38" t="s">
        <v>64</v>
      </c>
      <c r="D740" s="39">
        <v>0</v>
      </c>
      <c r="E740" s="39">
        <v>0</v>
      </c>
      <c r="F740" s="18">
        <f t="shared" si="22"/>
        <v>0</v>
      </c>
      <c r="G740" s="18">
        <f t="shared" si="23"/>
        <v>0</v>
      </c>
    </row>
    <row r="741" spans="1:7" x14ac:dyDescent="0.35">
      <c r="A741" s="21">
        <v>8</v>
      </c>
      <c r="B741" s="38" t="s">
        <v>141</v>
      </c>
      <c r="C741" s="38" t="s">
        <v>64</v>
      </c>
      <c r="D741" s="39">
        <v>0</v>
      </c>
      <c r="E741" s="39">
        <v>0</v>
      </c>
      <c r="F741" s="18">
        <f t="shared" si="22"/>
        <v>0</v>
      </c>
      <c r="G741" s="18">
        <f t="shared" si="23"/>
        <v>0</v>
      </c>
    </row>
    <row r="742" spans="1:7" x14ac:dyDescent="0.35">
      <c r="A742" s="21">
        <v>9</v>
      </c>
      <c r="B742" s="38" t="s">
        <v>141</v>
      </c>
      <c r="C742" s="38" t="s">
        <v>64</v>
      </c>
      <c r="D742" s="39">
        <v>0</v>
      </c>
      <c r="E742" s="39">
        <v>0</v>
      </c>
      <c r="F742" s="18">
        <f t="shared" si="22"/>
        <v>0</v>
      </c>
      <c r="G742" s="18">
        <f t="shared" si="23"/>
        <v>0</v>
      </c>
    </row>
    <row r="743" spans="1:7" x14ac:dyDescent="0.35">
      <c r="A743" s="21">
        <v>10</v>
      </c>
      <c r="B743" s="38" t="s">
        <v>141</v>
      </c>
      <c r="C743" s="38" t="s">
        <v>64</v>
      </c>
      <c r="D743" s="39">
        <v>0</v>
      </c>
      <c r="E743" s="39">
        <v>0</v>
      </c>
      <c r="F743" s="18">
        <f t="shared" si="22"/>
        <v>0</v>
      </c>
      <c r="G743" s="18">
        <f t="shared" si="23"/>
        <v>0</v>
      </c>
    </row>
    <row r="744" spans="1:7" x14ac:dyDescent="0.35">
      <c r="A744" s="21">
        <v>11</v>
      </c>
      <c r="B744" s="38" t="s">
        <v>141</v>
      </c>
      <c r="C744" s="38" t="s">
        <v>64</v>
      </c>
      <c r="D744" s="39">
        <v>0</v>
      </c>
      <c r="E744" s="39">
        <v>0</v>
      </c>
      <c r="F744" s="18">
        <f t="shared" si="22"/>
        <v>0</v>
      </c>
      <c r="G744" s="18">
        <f t="shared" si="23"/>
        <v>0</v>
      </c>
    </row>
    <row r="745" spans="1:7" x14ac:dyDescent="0.35">
      <c r="A745" s="21">
        <v>12</v>
      </c>
      <c r="B745" s="38" t="s">
        <v>141</v>
      </c>
      <c r="C745" s="38" t="s">
        <v>64</v>
      </c>
      <c r="D745" s="39">
        <v>0</v>
      </c>
      <c r="E745" s="39">
        <v>0</v>
      </c>
      <c r="F745" s="18">
        <f t="shared" si="22"/>
        <v>0</v>
      </c>
      <c r="G745" s="18">
        <f t="shared" si="23"/>
        <v>0</v>
      </c>
    </row>
    <row r="746" spans="1:7" x14ac:dyDescent="0.35">
      <c r="A746" s="21">
        <v>1</v>
      </c>
      <c r="B746" s="38" t="s">
        <v>141</v>
      </c>
      <c r="C746" s="38" t="s">
        <v>66</v>
      </c>
      <c r="D746" s="39">
        <v>78</v>
      </c>
      <c r="E746" s="39">
        <v>33</v>
      </c>
      <c r="F746" s="18">
        <f t="shared" si="22"/>
        <v>0</v>
      </c>
      <c r="G746" s="18">
        <f t="shared" si="23"/>
        <v>45</v>
      </c>
    </row>
    <row r="747" spans="1:7" x14ac:dyDescent="0.35">
      <c r="A747" s="21">
        <v>2</v>
      </c>
      <c r="B747" s="38" t="s">
        <v>141</v>
      </c>
      <c r="C747" s="38" t="s">
        <v>66</v>
      </c>
      <c r="D747" s="39">
        <v>0</v>
      </c>
      <c r="E747" s="39">
        <v>18</v>
      </c>
      <c r="F747" s="18">
        <f t="shared" si="22"/>
        <v>45</v>
      </c>
      <c r="G747" s="18">
        <f t="shared" si="23"/>
        <v>27</v>
      </c>
    </row>
    <row r="748" spans="1:7" x14ac:dyDescent="0.35">
      <c r="A748" s="21">
        <v>3</v>
      </c>
      <c r="B748" s="38" t="s">
        <v>141</v>
      </c>
      <c r="C748" s="38" t="s">
        <v>66</v>
      </c>
      <c r="D748" s="39">
        <v>0</v>
      </c>
      <c r="E748" s="39">
        <v>15</v>
      </c>
      <c r="F748" s="18">
        <f t="shared" si="22"/>
        <v>27</v>
      </c>
      <c r="G748" s="18">
        <f t="shared" si="23"/>
        <v>12</v>
      </c>
    </row>
    <row r="749" spans="1:7" x14ac:dyDescent="0.35">
      <c r="A749" s="21">
        <v>4</v>
      </c>
      <c r="B749" s="38" t="s">
        <v>141</v>
      </c>
      <c r="C749" s="38" t="s">
        <v>66</v>
      </c>
      <c r="D749" s="39">
        <v>0</v>
      </c>
      <c r="E749" s="39">
        <v>12</v>
      </c>
      <c r="F749" s="18">
        <f t="shared" si="22"/>
        <v>12</v>
      </c>
      <c r="G749" s="18">
        <f t="shared" si="23"/>
        <v>0</v>
      </c>
    </row>
    <row r="750" spans="1:7" x14ac:dyDescent="0.35">
      <c r="A750" s="21">
        <v>5</v>
      </c>
      <c r="B750" s="38" t="s">
        <v>141</v>
      </c>
      <c r="C750" s="38" t="s">
        <v>66</v>
      </c>
      <c r="D750" s="39">
        <v>0</v>
      </c>
      <c r="E750" s="39">
        <v>0</v>
      </c>
      <c r="F750" s="18">
        <f t="shared" si="22"/>
        <v>0</v>
      </c>
      <c r="G750" s="18">
        <f t="shared" si="23"/>
        <v>0</v>
      </c>
    </row>
    <row r="751" spans="1:7" x14ac:dyDescent="0.35">
      <c r="A751" s="21">
        <v>6</v>
      </c>
      <c r="B751" s="38" t="s">
        <v>141</v>
      </c>
      <c r="C751" s="38" t="s">
        <v>66</v>
      </c>
      <c r="D751" s="39">
        <v>0</v>
      </c>
      <c r="E751" s="39">
        <v>0</v>
      </c>
      <c r="F751" s="18">
        <f t="shared" si="22"/>
        <v>0</v>
      </c>
      <c r="G751" s="18">
        <f t="shared" si="23"/>
        <v>0</v>
      </c>
    </row>
    <row r="752" spans="1:7" x14ac:dyDescent="0.35">
      <c r="A752" s="21">
        <v>7</v>
      </c>
      <c r="B752" s="38" t="s">
        <v>141</v>
      </c>
      <c r="C752" s="38" t="s">
        <v>66</v>
      </c>
      <c r="D752" s="39">
        <v>0</v>
      </c>
      <c r="E752" s="39">
        <v>0</v>
      </c>
      <c r="F752" s="18">
        <f t="shared" si="22"/>
        <v>0</v>
      </c>
      <c r="G752" s="18">
        <f t="shared" si="23"/>
        <v>0</v>
      </c>
    </row>
    <row r="753" spans="1:7" x14ac:dyDescent="0.35">
      <c r="A753" s="21">
        <v>8</v>
      </c>
      <c r="B753" s="38" t="s">
        <v>141</v>
      </c>
      <c r="C753" s="38" t="s">
        <v>66</v>
      </c>
      <c r="D753" s="39">
        <v>0</v>
      </c>
      <c r="E753" s="39">
        <v>0</v>
      </c>
      <c r="F753" s="18">
        <f t="shared" si="22"/>
        <v>0</v>
      </c>
      <c r="G753" s="18">
        <f t="shared" si="23"/>
        <v>0</v>
      </c>
    </row>
    <row r="754" spans="1:7" x14ac:dyDescent="0.35">
      <c r="A754" s="21">
        <v>9</v>
      </c>
      <c r="B754" s="38" t="s">
        <v>141</v>
      </c>
      <c r="C754" s="38" t="s">
        <v>66</v>
      </c>
      <c r="D754" s="39">
        <v>0</v>
      </c>
      <c r="E754" s="39">
        <v>0</v>
      </c>
      <c r="F754" s="18">
        <f t="shared" si="22"/>
        <v>0</v>
      </c>
      <c r="G754" s="18">
        <f t="shared" si="23"/>
        <v>0</v>
      </c>
    </row>
    <row r="755" spans="1:7" x14ac:dyDescent="0.35">
      <c r="A755" s="21">
        <v>10</v>
      </c>
      <c r="B755" s="38" t="s">
        <v>141</v>
      </c>
      <c r="C755" s="38" t="s">
        <v>66</v>
      </c>
      <c r="D755" s="39">
        <v>0</v>
      </c>
      <c r="E755" s="39">
        <v>0</v>
      </c>
      <c r="F755" s="18">
        <f t="shared" si="22"/>
        <v>0</v>
      </c>
      <c r="G755" s="18">
        <f t="shared" si="23"/>
        <v>0</v>
      </c>
    </row>
    <row r="756" spans="1:7" x14ac:dyDescent="0.35">
      <c r="A756" s="21">
        <v>11</v>
      </c>
      <c r="B756" s="38" t="s">
        <v>141</v>
      </c>
      <c r="C756" s="38" t="s">
        <v>66</v>
      </c>
      <c r="D756" s="39">
        <v>0</v>
      </c>
      <c r="E756" s="39">
        <v>0</v>
      </c>
      <c r="F756" s="18">
        <f t="shared" si="22"/>
        <v>0</v>
      </c>
      <c r="G756" s="18">
        <f t="shared" si="23"/>
        <v>0</v>
      </c>
    </row>
    <row r="757" spans="1:7" x14ac:dyDescent="0.35">
      <c r="A757" s="21">
        <v>12</v>
      </c>
      <c r="B757" s="38" t="s">
        <v>141</v>
      </c>
      <c r="C757" s="38" t="s">
        <v>66</v>
      </c>
      <c r="D757" s="39">
        <v>0</v>
      </c>
      <c r="E757" s="39">
        <v>0</v>
      </c>
      <c r="F757" s="18">
        <f t="shared" si="22"/>
        <v>0</v>
      </c>
      <c r="G757" s="18">
        <f t="shared" si="23"/>
        <v>0</v>
      </c>
    </row>
    <row r="758" spans="1:7" x14ac:dyDescent="0.35">
      <c r="A758" s="21">
        <v>1</v>
      </c>
      <c r="B758" s="38" t="s">
        <v>141</v>
      </c>
      <c r="C758" s="38" t="s">
        <v>68</v>
      </c>
      <c r="D758" s="39">
        <v>110</v>
      </c>
      <c r="E758" s="39">
        <v>42</v>
      </c>
      <c r="F758" s="18">
        <f t="shared" si="22"/>
        <v>0</v>
      </c>
      <c r="G758" s="18">
        <f t="shared" si="23"/>
        <v>68</v>
      </c>
    </row>
    <row r="759" spans="1:7" x14ac:dyDescent="0.35">
      <c r="A759" s="21">
        <v>2</v>
      </c>
      <c r="B759" s="38" t="s">
        <v>141</v>
      </c>
      <c r="C759" s="38" t="s">
        <v>68</v>
      </c>
      <c r="D759" s="39">
        <v>0</v>
      </c>
      <c r="E759" s="39">
        <v>30</v>
      </c>
      <c r="F759" s="18">
        <f t="shared" si="22"/>
        <v>68</v>
      </c>
      <c r="G759" s="18">
        <f t="shared" si="23"/>
        <v>38</v>
      </c>
    </row>
    <row r="760" spans="1:7" x14ac:dyDescent="0.35">
      <c r="A760" s="21">
        <v>3</v>
      </c>
      <c r="B760" s="38" t="s">
        <v>141</v>
      </c>
      <c r="C760" s="38" t="s">
        <v>68</v>
      </c>
      <c r="D760" s="39">
        <v>0</v>
      </c>
      <c r="E760" s="39">
        <v>24</v>
      </c>
      <c r="F760" s="18">
        <f t="shared" si="22"/>
        <v>38</v>
      </c>
      <c r="G760" s="18">
        <f t="shared" si="23"/>
        <v>14</v>
      </c>
    </row>
    <row r="761" spans="1:7" x14ac:dyDescent="0.35">
      <c r="A761" s="21">
        <v>4</v>
      </c>
      <c r="B761" s="38" t="s">
        <v>141</v>
      </c>
      <c r="C761" s="38" t="s">
        <v>68</v>
      </c>
      <c r="D761" s="39">
        <v>0</v>
      </c>
      <c r="E761" s="39">
        <v>14</v>
      </c>
      <c r="F761" s="18">
        <f t="shared" si="22"/>
        <v>14</v>
      </c>
      <c r="G761" s="18">
        <f t="shared" si="23"/>
        <v>0</v>
      </c>
    </row>
    <row r="762" spans="1:7" x14ac:dyDescent="0.35">
      <c r="A762" s="21">
        <v>5</v>
      </c>
      <c r="B762" s="38" t="s">
        <v>141</v>
      </c>
      <c r="C762" s="38" t="s">
        <v>68</v>
      </c>
      <c r="D762" s="39">
        <v>0</v>
      </c>
      <c r="E762" s="39">
        <v>0</v>
      </c>
      <c r="F762" s="18">
        <f t="shared" si="22"/>
        <v>0</v>
      </c>
      <c r="G762" s="18">
        <f t="shared" si="23"/>
        <v>0</v>
      </c>
    </row>
    <row r="763" spans="1:7" x14ac:dyDescent="0.35">
      <c r="A763" s="21">
        <v>6</v>
      </c>
      <c r="B763" s="38" t="s">
        <v>141</v>
      </c>
      <c r="C763" s="38" t="s">
        <v>68</v>
      </c>
      <c r="D763" s="39">
        <v>0</v>
      </c>
      <c r="E763" s="39">
        <v>0</v>
      </c>
      <c r="F763" s="18">
        <f t="shared" si="22"/>
        <v>0</v>
      </c>
      <c r="G763" s="18">
        <f t="shared" si="23"/>
        <v>0</v>
      </c>
    </row>
    <row r="764" spans="1:7" x14ac:dyDescent="0.35">
      <c r="A764" s="21">
        <v>7</v>
      </c>
      <c r="B764" s="38" t="s">
        <v>141</v>
      </c>
      <c r="C764" s="38" t="s">
        <v>68</v>
      </c>
      <c r="D764" s="39">
        <v>0</v>
      </c>
      <c r="E764" s="39">
        <v>0</v>
      </c>
      <c r="F764" s="18">
        <f t="shared" si="22"/>
        <v>0</v>
      </c>
      <c r="G764" s="18">
        <f t="shared" si="23"/>
        <v>0</v>
      </c>
    </row>
    <row r="765" spans="1:7" x14ac:dyDescent="0.35">
      <c r="A765" s="21">
        <v>8</v>
      </c>
      <c r="B765" s="38" t="s">
        <v>141</v>
      </c>
      <c r="C765" s="38" t="s">
        <v>68</v>
      </c>
      <c r="D765" s="39">
        <v>0</v>
      </c>
      <c r="E765" s="39">
        <v>0</v>
      </c>
      <c r="F765" s="18">
        <f t="shared" si="22"/>
        <v>0</v>
      </c>
      <c r="G765" s="18">
        <f t="shared" si="23"/>
        <v>0</v>
      </c>
    </row>
    <row r="766" spans="1:7" x14ac:dyDescent="0.35">
      <c r="A766" s="21">
        <v>9</v>
      </c>
      <c r="B766" s="38" t="s">
        <v>141</v>
      </c>
      <c r="C766" s="38" t="s">
        <v>68</v>
      </c>
      <c r="D766" s="39">
        <v>0</v>
      </c>
      <c r="E766" s="39">
        <v>0</v>
      </c>
      <c r="F766" s="18">
        <f t="shared" si="22"/>
        <v>0</v>
      </c>
      <c r="G766" s="18">
        <f t="shared" si="23"/>
        <v>0</v>
      </c>
    </row>
    <row r="767" spans="1:7" x14ac:dyDescent="0.35">
      <c r="A767" s="21">
        <v>10</v>
      </c>
      <c r="B767" s="38" t="s">
        <v>141</v>
      </c>
      <c r="C767" s="38" t="s">
        <v>68</v>
      </c>
      <c r="D767" s="39">
        <v>0</v>
      </c>
      <c r="E767" s="39">
        <v>0</v>
      </c>
      <c r="F767" s="18">
        <f t="shared" si="22"/>
        <v>0</v>
      </c>
      <c r="G767" s="18">
        <f t="shared" si="23"/>
        <v>0</v>
      </c>
    </row>
    <row r="768" spans="1:7" x14ac:dyDescent="0.35">
      <c r="A768" s="21">
        <v>11</v>
      </c>
      <c r="B768" s="38" t="s">
        <v>141</v>
      </c>
      <c r="C768" s="38" t="s">
        <v>68</v>
      </c>
      <c r="D768" s="39">
        <v>0</v>
      </c>
      <c r="E768" s="39">
        <v>0</v>
      </c>
      <c r="F768" s="18">
        <f t="shared" si="22"/>
        <v>0</v>
      </c>
      <c r="G768" s="18">
        <f t="shared" si="23"/>
        <v>0</v>
      </c>
    </row>
    <row r="769" spans="1:7" x14ac:dyDescent="0.35">
      <c r="A769" s="21">
        <v>12</v>
      </c>
      <c r="B769" s="38" t="s">
        <v>141</v>
      </c>
      <c r="C769" s="38" t="s">
        <v>68</v>
      </c>
      <c r="D769" s="39">
        <v>0</v>
      </c>
      <c r="E769" s="39">
        <v>0</v>
      </c>
      <c r="F769" s="18">
        <f t="shared" si="22"/>
        <v>0</v>
      </c>
      <c r="G769" s="18">
        <f t="shared" si="23"/>
        <v>0</v>
      </c>
    </row>
    <row r="770" spans="1:7" x14ac:dyDescent="0.35">
      <c r="A770" s="21">
        <v>1</v>
      </c>
      <c r="B770" s="38" t="s">
        <v>142</v>
      </c>
      <c r="C770" s="38" t="s">
        <v>62</v>
      </c>
      <c r="D770" s="39">
        <v>78</v>
      </c>
      <c r="E770" s="39">
        <v>21</v>
      </c>
      <c r="F770" s="18">
        <f t="shared" ref="F770:F833" si="24">IF(A770=1,0,G769)</f>
        <v>0</v>
      </c>
      <c r="G770" s="18">
        <f t="shared" ref="G770:G833" si="25">F770+D770-E770</f>
        <v>57</v>
      </c>
    </row>
    <row r="771" spans="1:7" x14ac:dyDescent="0.35">
      <c r="A771" s="21">
        <v>2</v>
      </c>
      <c r="B771" s="38" t="s">
        <v>142</v>
      </c>
      <c r="C771" s="38" t="s">
        <v>62</v>
      </c>
      <c r="D771" s="39">
        <v>0</v>
      </c>
      <c r="E771" s="39">
        <v>26</v>
      </c>
      <c r="F771" s="18">
        <f t="shared" si="24"/>
        <v>57</v>
      </c>
      <c r="G771" s="18">
        <f t="shared" si="25"/>
        <v>31</v>
      </c>
    </row>
    <row r="772" spans="1:7" x14ac:dyDescent="0.35">
      <c r="A772" s="21">
        <v>3</v>
      </c>
      <c r="B772" s="38" t="s">
        <v>142</v>
      </c>
      <c r="C772" s="38" t="s">
        <v>62</v>
      </c>
      <c r="D772" s="39">
        <v>0</v>
      </c>
      <c r="E772" s="39">
        <v>14</v>
      </c>
      <c r="F772" s="18">
        <f t="shared" si="24"/>
        <v>31</v>
      </c>
      <c r="G772" s="18">
        <f t="shared" si="25"/>
        <v>17</v>
      </c>
    </row>
    <row r="773" spans="1:7" x14ac:dyDescent="0.35">
      <c r="A773" s="21">
        <v>4</v>
      </c>
      <c r="B773" s="38" t="s">
        <v>142</v>
      </c>
      <c r="C773" s="38" t="s">
        <v>62</v>
      </c>
      <c r="D773" s="39">
        <v>0</v>
      </c>
      <c r="E773" s="39">
        <v>13</v>
      </c>
      <c r="F773" s="18">
        <f t="shared" si="24"/>
        <v>17</v>
      </c>
      <c r="G773" s="18">
        <f t="shared" si="25"/>
        <v>4</v>
      </c>
    </row>
    <row r="774" spans="1:7" x14ac:dyDescent="0.35">
      <c r="A774" s="21">
        <v>5</v>
      </c>
      <c r="B774" s="38" t="s">
        <v>142</v>
      </c>
      <c r="C774" s="38" t="s">
        <v>62</v>
      </c>
      <c r="D774" s="39">
        <v>0</v>
      </c>
      <c r="E774" s="39">
        <v>4</v>
      </c>
      <c r="F774" s="18">
        <f t="shared" si="24"/>
        <v>4</v>
      </c>
      <c r="G774" s="18">
        <f t="shared" si="25"/>
        <v>0</v>
      </c>
    </row>
    <row r="775" spans="1:7" x14ac:dyDescent="0.35">
      <c r="A775" s="21">
        <v>6</v>
      </c>
      <c r="B775" s="38" t="s">
        <v>142</v>
      </c>
      <c r="C775" s="38" t="s">
        <v>62</v>
      </c>
      <c r="D775" s="39">
        <v>0</v>
      </c>
      <c r="E775" s="39">
        <v>0</v>
      </c>
      <c r="F775" s="18">
        <f t="shared" si="24"/>
        <v>0</v>
      </c>
      <c r="G775" s="18">
        <f t="shared" si="25"/>
        <v>0</v>
      </c>
    </row>
    <row r="776" spans="1:7" x14ac:dyDescent="0.35">
      <c r="A776" s="21">
        <v>7</v>
      </c>
      <c r="B776" s="38" t="s">
        <v>142</v>
      </c>
      <c r="C776" s="38" t="s">
        <v>62</v>
      </c>
      <c r="D776" s="39">
        <v>0</v>
      </c>
      <c r="E776" s="39">
        <v>0</v>
      </c>
      <c r="F776" s="18">
        <f t="shared" si="24"/>
        <v>0</v>
      </c>
      <c r="G776" s="18">
        <f t="shared" si="25"/>
        <v>0</v>
      </c>
    </row>
    <row r="777" spans="1:7" x14ac:dyDescent="0.35">
      <c r="A777" s="21">
        <v>8</v>
      </c>
      <c r="B777" s="38" t="s">
        <v>142</v>
      </c>
      <c r="C777" s="38" t="s">
        <v>62</v>
      </c>
      <c r="D777" s="39">
        <v>0</v>
      </c>
      <c r="E777" s="39">
        <v>0</v>
      </c>
      <c r="F777" s="18">
        <f t="shared" si="24"/>
        <v>0</v>
      </c>
      <c r="G777" s="18">
        <f t="shared" si="25"/>
        <v>0</v>
      </c>
    </row>
    <row r="778" spans="1:7" x14ac:dyDescent="0.35">
      <c r="A778" s="21">
        <v>9</v>
      </c>
      <c r="B778" s="38" t="s">
        <v>142</v>
      </c>
      <c r="C778" s="38" t="s">
        <v>62</v>
      </c>
      <c r="D778" s="39">
        <v>0</v>
      </c>
      <c r="E778" s="39">
        <v>0</v>
      </c>
      <c r="F778" s="18">
        <f t="shared" si="24"/>
        <v>0</v>
      </c>
      <c r="G778" s="18">
        <f t="shared" si="25"/>
        <v>0</v>
      </c>
    </row>
    <row r="779" spans="1:7" x14ac:dyDescent="0.35">
      <c r="A779" s="21">
        <v>10</v>
      </c>
      <c r="B779" s="38" t="s">
        <v>142</v>
      </c>
      <c r="C779" s="38" t="s">
        <v>62</v>
      </c>
      <c r="D779" s="39">
        <v>0</v>
      </c>
      <c r="E779" s="39">
        <v>0</v>
      </c>
      <c r="F779" s="18">
        <f t="shared" si="24"/>
        <v>0</v>
      </c>
      <c r="G779" s="18">
        <f t="shared" si="25"/>
        <v>0</v>
      </c>
    </row>
    <row r="780" spans="1:7" x14ac:dyDescent="0.35">
      <c r="A780" s="21">
        <v>11</v>
      </c>
      <c r="B780" s="38" t="s">
        <v>142</v>
      </c>
      <c r="C780" s="38" t="s">
        <v>62</v>
      </c>
      <c r="D780" s="39">
        <v>0</v>
      </c>
      <c r="E780" s="39">
        <v>0</v>
      </c>
      <c r="F780" s="18">
        <f t="shared" si="24"/>
        <v>0</v>
      </c>
      <c r="G780" s="18">
        <f t="shared" si="25"/>
        <v>0</v>
      </c>
    </row>
    <row r="781" spans="1:7" x14ac:dyDescent="0.35">
      <c r="A781" s="21">
        <v>12</v>
      </c>
      <c r="B781" s="38" t="s">
        <v>142</v>
      </c>
      <c r="C781" s="38" t="s">
        <v>62</v>
      </c>
      <c r="D781" s="39">
        <v>0</v>
      </c>
      <c r="E781" s="39">
        <v>0</v>
      </c>
      <c r="F781" s="18">
        <f t="shared" si="24"/>
        <v>0</v>
      </c>
      <c r="G781" s="18">
        <f t="shared" si="25"/>
        <v>0</v>
      </c>
    </row>
    <row r="782" spans="1:7" x14ac:dyDescent="0.35">
      <c r="A782" s="21">
        <v>1</v>
      </c>
      <c r="B782" s="38" t="s">
        <v>142</v>
      </c>
      <c r="C782" s="38" t="s">
        <v>64</v>
      </c>
      <c r="D782" s="39">
        <v>115</v>
      </c>
      <c r="E782" s="39">
        <v>35</v>
      </c>
      <c r="F782" s="18">
        <f t="shared" si="24"/>
        <v>0</v>
      </c>
      <c r="G782" s="18">
        <f t="shared" si="25"/>
        <v>80</v>
      </c>
    </row>
    <row r="783" spans="1:7" x14ac:dyDescent="0.35">
      <c r="A783" s="21">
        <v>2</v>
      </c>
      <c r="B783" s="38" t="s">
        <v>142</v>
      </c>
      <c r="C783" s="38" t="s">
        <v>64</v>
      </c>
      <c r="D783" s="39">
        <v>0</v>
      </c>
      <c r="E783" s="39">
        <v>28</v>
      </c>
      <c r="F783" s="18">
        <f t="shared" si="24"/>
        <v>80</v>
      </c>
      <c r="G783" s="18">
        <f t="shared" si="25"/>
        <v>52</v>
      </c>
    </row>
    <row r="784" spans="1:7" x14ac:dyDescent="0.35">
      <c r="A784" s="21">
        <v>3</v>
      </c>
      <c r="B784" s="38" t="s">
        <v>142</v>
      </c>
      <c r="C784" s="38" t="s">
        <v>64</v>
      </c>
      <c r="D784" s="39">
        <v>0</v>
      </c>
      <c r="E784" s="39">
        <v>28</v>
      </c>
      <c r="F784" s="18">
        <f t="shared" si="24"/>
        <v>52</v>
      </c>
      <c r="G784" s="18">
        <f t="shared" si="25"/>
        <v>24</v>
      </c>
    </row>
    <row r="785" spans="1:7" x14ac:dyDescent="0.35">
      <c r="A785" s="21">
        <v>4</v>
      </c>
      <c r="B785" s="38" t="s">
        <v>142</v>
      </c>
      <c r="C785" s="38" t="s">
        <v>64</v>
      </c>
      <c r="D785" s="39">
        <v>0</v>
      </c>
      <c r="E785" s="39">
        <v>19</v>
      </c>
      <c r="F785" s="18">
        <f t="shared" si="24"/>
        <v>24</v>
      </c>
      <c r="G785" s="18">
        <f t="shared" si="25"/>
        <v>5</v>
      </c>
    </row>
    <row r="786" spans="1:7" x14ac:dyDescent="0.35">
      <c r="A786" s="21">
        <v>5</v>
      </c>
      <c r="B786" s="38" t="s">
        <v>142</v>
      </c>
      <c r="C786" s="38" t="s">
        <v>64</v>
      </c>
      <c r="D786" s="39">
        <v>0</v>
      </c>
      <c r="E786" s="39">
        <v>5</v>
      </c>
      <c r="F786" s="18">
        <f t="shared" si="24"/>
        <v>5</v>
      </c>
      <c r="G786" s="18">
        <f t="shared" si="25"/>
        <v>0</v>
      </c>
    </row>
    <row r="787" spans="1:7" x14ac:dyDescent="0.35">
      <c r="A787" s="21">
        <v>6</v>
      </c>
      <c r="B787" s="38" t="s">
        <v>142</v>
      </c>
      <c r="C787" s="38" t="s">
        <v>64</v>
      </c>
      <c r="D787" s="39">
        <v>0</v>
      </c>
      <c r="E787" s="39">
        <v>0</v>
      </c>
      <c r="F787" s="18">
        <f t="shared" si="24"/>
        <v>0</v>
      </c>
      <c r="G787" s="18">
        <f t="shared" si="25"/>
        <v>0</v>
      </c>
    </row>
    <row r="788" spans="1:7" x14ac:dyDescent="0.35">
      <c r="A788" s="21">
        <v>7</v>
      </c>
      <c r="B788" s="38" t="s">
        <v>142</v>
      </c>
      <c r="C788" s="38" t="s">
        <v>64</v>
      </c>
      <c r="D788" s="39">
        <v>0</v>
      </c>
      <c r="E788" s="39">
        <v>0</v>
      </c>
      <c r="F788" s="18">
        <f t="shared" si="24"/>
        <v>0</v>
      </c>
      <c r="G788" s="18">
        <f t="shared" si="25"/>
        <v>0</v>
      </c>
    </row>
    <row r="789" spans="1:7" x14ac:dyDescent="0.35">
      <c r="A789" s="21">
        <v>8</v>
      </c>
      <c r="B789" s="38" t="s">
        <v>142</v>
      </c>
      <c r="C789" s="38" t="s">
        <v>64</v>
      </c>
      <c r="D789" s="39">
        <v>0</v>
      </c>
      <c r="E789" s="39">
        <v>0</v>
      </c>
      <c r="F789" s="18">
        <f t="shared" si="24"/>
        <v>0</v>
      </c>
      <c r="G789" s="18">
        <f t="shared" si="25"/>
        <v>0</v>
      </c>
    </row>
    <row r="790" spans="1:7" x14ac:dyDescent="0.35">
      <c r="A790" s="21">
        <v>9</v>
      </c>
      <c r="B790" s="38" t="s">
        <v>142</v>
      </c>
      <c r="C790" s="38" t="s">
        <v>64</v>
      </c>
      <c r="D790" s="39">
        <v>0</v>
      </c>
      <c r="E790" s="39">
        <v>0</v>
      </c>
      <c r="F790" s="18">
        <f t="shared" si="24"/>
        <v>0</v>
      </c>
      <c r="G790" s="18">
        <f t="shared" si="25"/>
        <v>0</v>
      </c>
    </row>
    <row r="791" spans="1:7" x14ac:dyDescent="0.35">
      <c r="A791" s="21">
        <v>10</v>
      </c>
      <c r="B791" s="38" t="s">
        <v>142</v>
      </c>
      <c r="C791" s="38" t="s">
        <v>64</v>
      </c>
      <c r="D791" s="39">
        <v>0</v>
      </c>
      <c r="E791" s="39">
        <v>0</v>
      </c>
      <c r="F791" s="18">
        <f t="shared" si="24"/>
        <v>0</v>
      </c>
      <c r="G791" s="18">
        <f t="shared" si="25"/>
        <v>0</v>
      </c>
    </row>
    <row r="792" spans="1:7" x14ac:dyDescent="0.35">
      <c r="A792" s="21">
        <v>11</v>
      </c>
      <c r="B792" s="38" t="s">
        <v>142</v>
      </c>
      <c r="C792" s="38" t="s">
        <v>64</v>
      </c>
      <c r="D792" s="39">
        <v>0</v>
      </c>
      <c r="E792" s="39">
        <v>0</v>
      </c>
      <c r="F792" s="18">
        <f t="shared" si="24"/>
        <v>0</v>
      </c>
      <c r="G792" s="18">
        <f t="shared" si="25"/>
        <v>0</v>
      </c>
    </row>
    <row r="793" spans="1:7" x14ac:dyDescent="0.35">
      <c r="A793" s="21">
        <v>12</v>
      </c>
      <c r="B793" s="38" t="s">
        <v>142</v>
      </c>
      <c r="C793" s="38" t="s">
        <v>64</v>
      </c>
      <c r="D793" s="39">
        <v>0</v>
      </c>
      <c r="E793" s="39">
        <v>0</v>
      </c>
      <c r="F793" s="18">
        <f t="shared" si="24"/>
        <v>0</v>
      </c>
      <c r="G793" s="18">
        <f t="shared" si="25"/>
        <v>0</v>
      </c>
    </row>
    <row r="794" spans="1:7" x14ac:dyDescent="0.35">
      <c r="A794" s="21">
        <v>1</v>
      </c>
      <c r="B794" s="38" t="s">
        <v>142</v>
      </c>
      <c r="C794" s="38" t="s">
        <v>66</v>
      </c>
      <c r="D794" s="39">
        <v>74</v>
      </c>
      <c r="E794" s="39">
        <v>27</v>
      </c>
      <c r="F794" s="18">
        <f t="shared" si="24"/>
        <v>0</v>
      </c>
      <c r="G794" s="18">
        <f t="shared" si="25"/>
        <v>47</v>
      </c>
    </row>
    <row r="795" spans="1:7" x14ac:dyDescent="0.35">
      <c r="A795" s="21">
        <v>2</v>
      </c>
      <c r="B795" s="38" t="s">
        <v>142</v>
      </c>
      <c r="C795" s="38" t="s">
        <v>66</v>
      </c>
      <c r="D795" s="39">
        <v>0</v>
      </c>
      <c r="E795" s="39">
        <v>14</v>
      </c>
      <c r="F795" s="18">
        <f t="shared" si="24"/>
        <v>47</v>
      </c>
      <c r="G795" s="18">
        <f t="shared" si="25"/>
        <v>33</v>
      </c>
    </row>
    <row r="796" spans="1:7" x14ac:dyDescent="0.35">
      <c r="A796" s="21">
        <v>3</v>
      </c>
      <c r="B796" s="38" t="s">
        <v>142</v>
      </c>
      <c r="C796" s="38" t="s">
        <v>66</v>
      </c>
      <c r="D796" s="39">
        <v>0</v>
      </c>
      <c r="E796" s="39">
        <v>14</v>
      </c>
      <c r="F796" s="18">
        <f t="shared" si="24"/>
        <v>33</v>
      </c>
      <c r="G796" s="18">
        <f t="shared" si="25"/>
        <v>19</v>
      </c>
    </row>
    <row r="797" spans="1:7" x14ac:dyDescent="0.35">
      <c r="A797" s="21">
        <v>4</v>
      </c>
      <c r="B797" s="38" t="s">
        <v>142</v>
      </c>
      <c r="C797" s="38" t="s">
        <v>66</v>
      </c>
      <c r="D797" s="39">
        <v>0</v>
      </c>
      <c r="E797" s="39">
        <v>8</v>
      </c>
      <c r="F797" s="18">
        <f t="shared" si="24"/>
        <v>19</v>
      </c>
      <c r="G797" s="18">
        <f t="shared" si="25"/>
        <v>11</v>
      </c>
    </row>
    <row r="798" spans="1:7" x14ac:dyDescent="0.35">
      <c r="A798" s="21">
        <v>5</v>
      </c>
      <c r="B798" s="38" t="s">
        <v>142</v>
      </c>
      <c r="C798" s="38" t="s">
        <v>66</v>
      </c>
      <c r="D798" s="39">
        <v>0</v>
      </c>
      <c r="E798" s="39">
        <v>9</v>
      </c>
      <c r="F798" s="18">
        <f t="shared" si="24"/>
        <v>11</v>
      </c>
      <c r="G798" s="18">
        <f t="shared" si="25"/>
        <v>2</v>
      </c>
    </row>
    <row r="799" spans="1:7" x14ac:dyDescent="0.35">
      <c r="A799" s="21">
        <v>6</v>
      </c>
      <c r="B799" s="38" t="s">
        <v>142</v>
      </c>
      <c r="C799" s="38" t="s">
        <v>66</v>
      </c>
      <c r="D799" s="39">
        <v>0</v>
      </c>
      <c r="E799" s="39">
        <v>2</v>
      </c>
      <c r="F799" s="18">
        <f t="shared" si="24"/>
        <v>2</v>
      </c>
      <c r="G799" s="18">
        <f t="shared" si="25"/>
        <v>0</v>
      </c>
    </row>
    <row r="800" spans="1:7" x14ac:dyDescent="0.35">
      <c r="A800" s="21">
        <v>7</v>
      </c>
      <c r="B800" s="38" t="s">
        <v>142</v>
      </c>
      <c r="C800" s="38" t="s">
        <v>66</v>
      </c>
      <c r="D800" s="39">
        <v>0</v>
      </c>
      <c r="E800" s="39">
        <v>0</v>
      </c>
      <c r="F800" s="18">
        <f t="shared" si="24"/>
        <v>0</v>
      </c>
      <c r="G800" s="18">
        <f t="shared" si="25"/>
        <v>0</v>
      </c>
    </row>
    <row r="801" spans="1:7" x14ac:dyDescent="0.35">
      <c r="A801" s="21">
        <v>8</v>
      </c>
      <c r="B801" s="38" t="s">
        <v>142</v>
      </c>
      <c r="C801" s="38" t="s">
        <v>66</v>
      </c>
      <c r="D801" s="39">
        <v>0</v>
      </c>
      <c r="E801" s="39">
        <v>0</v>
      </c>
      <c r="F801" s="18">
        <f t="shared" si="24"/>
        <v>0</v>
      </c>
      <c r="G801" s="18">
        <f t="shared" si="25"/>
        <v>0</v>
      </c>
    </row>
    <row r="802" spans="1:7" x14ac:dyDescent="0.35">
      <c r="A802" s="21">
        <v>9</v>
      </c>
      <c r="B802" s="38" t="s">
        <v>142</v>
      </c>
      <c r="C802" s="38" t="s">
        <v>66</v>
      </c>
      <c r="D802" s="39">
        <v>0</v>
      </c>
      <c r="E802" s="39">
        <v>0</v>
      </c>
      <c r="F802" s="18">
        <f t="shared" si="24"/>
        <v>0</v>
      </c>
      <c r="G802" s="18">
        <f t="shared" si="25"/>
        <v>0</v>
      </c>
    </row>
    <row r="803" spans="1:7" x14ac:dyDescent="0.35">
      <c r="A803" s="21">
        <v>10</v>
      </c>
      <c r="B803" s="38" t="s">
        <v>142</v>
      </c>
      <c r="C803" s="38" t="s">
        <v>66</v>
      </c>
      <c r="D803" s="39">
        <v>0</v>
      </c>
      <c r="E803" s="39">
        <v>0</v>
      </c>
      <c r="F803" s="18">
        <f t="shared" si="24"/>
        <v>0</v>
      </c>
      <c r="G803" s="18">
        <f t="shared" si="25"/>
        <v>0</v>
      </c>
    </row>
    <row r="804" spans="1:7" x14ac:dyDescent="0.35">
      <c r="A804" s="21">
        <v>11</v>
      </c>
      <c r="B804" s="38" t="s">
        <v>142</v>
      </c>
      <c r="C804" s="38" t="s">
        <v>66</v>
      </c>
      <c r="D804" s="39">
        <v>0</v>
      </c>
      <c r="E804" s="39">
        <v>0</v>
      </c>
      <c r="F804" s="18">
        <f t="shared" si="24"/>
        <v>0</v>
      </c>
      <c r="G804" s="18">
        <f t="shared" si="25"/>
        <v>0</v>
      </c>
    </row>
    <row r="805" spans="1:7" x14ac:dyDescent="0.35">
      <c r="A805" s="21">
        <v>12</v>
      </c>
      <c r="B805" s="38" t="s">
        <v>142</v>
      </c>
      <c r="C805" s="38" t="s">
        <v>66</v>
      </c>
      <c r="D805" s="39">
        <v>0</v>
      </c>
      <c r="E805" s="39">
        <v>0</v>
      </c>
      <c r="F805" s="18">
        <f t="shared" si="24"/>
        <v>0</v>
      </c>
      <c r="G805" s="18">
        <f t="shared" si="25"/>
        <v>0</v>
      </c>
    </row>
    <row r="806" spans="1:7" x14ac:dyDescent="0.35">
      <c r="A806" s="21">
        <v>1</v>
      </c>
      <c r="B806" s="38" t="s">
        <v>142</v>
      </c>
      <c r="C806" s="38" t="s">
        <v>68</v>
      </c>
      <c r="D806" s="39">
        <v>93</v>
      </c>
      <c r="E806" s="39">
        <v>30</v>
      </c>
      <c r="F806" s="18">
        <f t="shared" si="24"/>
        <v>0</v>
      </c>
      <c r="G806" s="18">
        <f t="shared" si="25"/>
        <v>63</v>
      </c>
    </row>
    <row r="807" spans="1:7" x14ac:dyDescent="0.35">
      <c r="A807" s="21">
        <v>2</v>
      </c>
      <c r="B807" s="38" t="s">
        <v>142</v>
      </c>
      <c r="C807" s="38" t="s">
        <v>68</v>
      </c>
      <c r="D807" s="39">
        <v>0</v>
      </c>
      <c r="E807" s="39">
        <v>17</v>
      </c>
      <c r="F807" s="18">
        <f t="shared" si="24"/>
        <v>63</v>
      </c>
      <c r="G807" s="18">
        <f t="shared" si="25"/>
        <v>46</v>
      </c>
    </row>
    <row r="808" spans="1:7" x14ac:dyDescent="0.35">
      <c r="A808" s="21">
        <v>3</v>
      </c>
      <c r="B808" s="38" t="s">
        <v>142</v>
      </c>
      <c r="C808" s="38" t="s">
        <v>68</v>
      </c>
      <c r="D808" s="39">
        <v>0</v>
      </c>
      <c r="E808" s="39">
        <v>24</v>
      </c>
      <c r="F808" s="18">
        <f t="shared" si="24"/>
        <v>46</v>
      </c>
      <c r="G808" s="18">
        <f t="shared" si="25"/>
        <v>22</v>
      </c>
    </row>
    <row r="809" spans="1:7" x14ac:dyDescent="0.35">
      <c r="A809" s="21">
        <v>4</v>
      </c>
      <c r="B809" s="38" t="s">
        <v>142</v>
      </c>
      <c r="C809" s="38" t="s">
        <v>68</v>
      </c>
      <c r="D809" s="39">
        <v>0</v>
      </c>
      <c r="E809" s="39">
        <v>11</v>
      </c>
      <c r="F809" s="18">
        <f t="shared" si="24"/>
        <v>22</v>
      </c>
      <c r="G809" s="18">
        <f t="shared" si="25"/>
        <v>11</v>
      </c>
    </row>
    <row r="810" spans="1:7" x14ac:dyDescent="0.35">
      <c r="A810" s="21">
        <v>5</v>
      </c>
      <c r="B810" s="38" t="s">
        <v>142</v>
      </c>
      <c r="C810" s="38" t="s">
        <v>68</v>
      </c>
      <c r="D810" s="39">
        <v>0</v>
      </c>
      <c r="E810" s="39">
        <v>8</v>
      </c>
      <c r="F810" s="18">
        <f t="shared" si="24"/>
        <v>11</v>
      </c>
      <c r="G810" s="18">
        <f t="shared" si="25"/>
        <v>3</v>
      </c>
    </row>
    <row r="811" spans="1:7" x14ac:dyDescent="0.35">
      <c r="A811" s="21">
        <v>6</v>
      </c>
      <c r="B811" s="38" t="s">
        <v>142</v>
      </c>
      <c r="C811" s="38" t="s">
        <v>68</v>
      </c>
      <c r="D811" s="39">
        <v>0</v>
      </c>
      <c r="E811" s="39">
        <v>3</v>
      </c>
      <c r="F811" s="18">
        <f t="shared" si="24"/>
        <v>3</v>
      </c>
      <c r="G811" s="18">
        <f t="shared" si="25"/>
        <v>0</v>
      </c>
    </row>
    <row r="812" spans="1:7" x14ac:dyDescent="0.35">
      <c r="A812" s="21">
        <v>7</v>
      </c>
      <c r="B812" s="38" t="s">
        <v>142</v>
      </c>
      <c r="C812" s="38" t="s">
        <v>68</v>
      </c>
      <c r="D812" s="39">
        <v>0</v>
      </c>
      <c r="E812" s="39">
        <v>0</v>
      </c>
      <c r="F812" s="18">
        <f t="shared" si="24"/>
        <v>0</v>
      </c>
      <c r="G812" s="18">
        <f t="shared" si="25"/>
        <v>0</v>
      </c>
    </row>
    <row r="813" spans="1:7" x14ac:dyDescent="0.35">
      <c r="A813" s="21">
        <v>8</v>
      </c>
      <c r="B813" s="38" t="s">
        <v>142</v>
      </c>
      <c r="C813" s="38" t="s">
        <v>68</v>
      </c>
      <c r="D813" s="39">
        <v>0</v>
      </c>
      <c r="E813" s="39">
        <v>0</v>
      </c>
      <c r="F813" s="18">
        <f t="shared" si="24"/>
        <v>0</v>
      </c>
      <c r="G813" s="18">
        <f t="shared" si="25"/>
        <v>0</v>
      </c>
    </row>
    <row r="814" spans="1:7" x14ac:dyDescent="0.35">
      <c r="A814" s="21">
        <v>9</v>
      </c>
      <c r="B814" s="38" t="s">
        <v>142</v>
      </c>
      <c r="C814" s="38" t="s">
        <v>68</v>
      </c>
      <c r="D814" s="39">
        <v>0</v>
      </c>
      <c r="E814" s="39">
        <v>0</v>
      </c>
      <c r="F814" s="18">
        <f t="shared" si="24"/>
        <v>0</v>
      </c>
      <c r="G814" s="18">
        <f t="shared" si="25"/>
        <v>0</v>
      </c>
    </row>
    <row r="815" spans="1:7" x14ac:dyDescent="0.35">
      <c r="A815" s="21">
        <v>10</v>
      </c>
      <c r="B815" s="38" t="s">
        <v>142</v>
      </c>
      <c r="C815" s="38" t="s">
        <v>68</v>
      </c>
      <c r="D815" s="39">
        <v>0</v>
      </c>
      <c r="E815" s="39">
        <v>0</v>
      </c>
      <c r="F815" s="18">
        <f t="shared" si="24"/>
        <v>0</v>
      </c>
      <c r="G815" s="18">
        <f t="shared" si="25"/>
        <v>0</v>
      </c>
    </row>
    <row r="816" spans="1:7" x14ac:dyDescent="0.35">
      <c r="A816" s="21">
        <v>11</v>
      </c>
      <c r="B816" s="38" t="s">
        <v>142</v>
      </c>
      <c r="C816" s="38" t="s">
        <v>68</v>
      </c>
      <c r="D816" s="39">
        <v>0</v>
      </c>
      <c r="E816" s="39">
        <v>0</v>
      </c>
      <c r="F816" s="18">
        <f t="shared" si="24"/>
        <v>0</v>
      </c>
      <c r="G816" s="18">
        <f t="shared" si="25"/>
        <v>0</v>
      </c>
    </row>
    <row r="817" spans="1:7" x14ac:dyDescent="0.35">
      <c r="A817" s="21">
        <v>12</v>
      </c>
      <c r="B817" s="38" t="s">
        <v>142</v>
      </c>
      <c r="C817" s="38" t="s">
        <v>68</v>
      </c>
      <c r="D817" s="39">
        <v>0</v>
      </c>
      <c r="E817" s="39">
        <v>0</v>
      </c>
      <c r="F817" s="18">
        <f t="shared" si="24"/>
        <v>0</v>
      </c>
      <c r="G817" s="18">
        <f t="shared" si="25"/>
        <v>0</v>
      </c>
    </row>
    <row r="818" spans="1:7" x14ac:dyDescent="0.35">
      <c r="A818" s="21">
        <v>1</v>
      </c>
      <c r="B818" s="38" t="s">
        <v>145</v>
      </c>
      <c r="C818" s="38" t="s">
        <v>62</v>
      </c>
      <c r="D818" s="39">
        <v>72</v>
      </c>
      <c r="E818" s="39">
        <v>24</v>
      </c>
      <c r="F818" s="18">
        <f t="shared" si="24"/>
        <v>0</v>
      </c>
      <c r="G818" s="18">
        <f t="shared" si="25"/>
        <v>48</v>
      </c>
    </row>
    <row r="819" spans="1:7" x14ac:dyDescent="0.35">
      <c r="A819" s="21">
        <v>2</v>
      </c>
      <c r="B819" s="38" t="s">
        <v>145</v>
      </c>
      <c r="C819" s="38" t="s">
        <v>62</v>
      </c>
      <c r="D819" s="39">
        <v>0</v>
      </c>
      <c r="E819" s="39">
        <v>17</v>
      </c>
      <c r="F819" s="18">
        <f t="shared" si="24"/>
        <v>48</v>
      </c>
      <c r="G819" s="18">
        <f t="shared" si="25"/>
        <v>31</v>
      </c>
    </row>
    <row r="820" spans="1:7" x14ac:dyDescent="0.35">
      <c r="A820" s="21">
        <v>3</v>
      </c>
      <c r="B820" s="38" t="s">
        <v>145</v>
      </c>
      <c r="C820" s="38" t="s">
        <v>62</v>
      </c>
      <c r="D820" s="39">
        <v>0</v>
      </c>
      <c r="E820" s="39">
        <v>11</v>
      </c>
      <c r="F820" s="18">
        <f t="shared" si="24"/>
        <v>31</v>
      </c>
      <c r="G820" s="18">
        <f t="shared" si="25"/>
        <v>20</v>
      </c>
    </row>
    <row r="821" spans="1:7" x14ac:dyDescent="0.35">
      <c r="A821" s="21">
        <v>4</v>
      </c>
      <c r="B821" s="38" t="s">
        <v>145</v>
      </c>
      <c r="C821" s="38" t="s">
        <v>62</v>
      </c>
      <c r="D821" s="39">
        <v>0</v>
      </c>
      <c r="E821" s="39">
        <v>9</v>
      </c>
      <c r="F821" s="18">
        <f t="shared" si="24"/>
        <v>20</v>
      </c>
      <c r="G821" s="18">
        <f t="shared" si="25"/>
        <v>11</v>
      </c>
    </row>
    <row r="822" spans="1:7" x14ac:dyDescent="0.35">
      <c r="A822" s="21">
        <v>5</v>
      </c>
      <c r="B822" s="38" t="s">
        <v>145</v>
      </c>
      <c r="C822" s="38" t="s">
        <v>62</v>
      </c>
      <c r="D822" s="39">
        <v>0</v>
      </c>
      <c r="E822" s="39">
        <v>8</v>
      </c>
      <c r="F822" s="18">
        <f t="shared" si="24"/>
        <v>11</v>
      </c>
      <c r="G822" s="18">
        <f t="shared" si="25"/>
        <v>3</v>
      </c>
    </row>
    <row r="823" spans="1:7" x14ac:dyDescent="0.35">
      <c r="A823" s="21">
        <v>6</v>
      </c>
      <c r="B823" s="38" t="s">
        <v>145</v>
      </c>
      <c r="C823" s="38" t="s">
        <v>62</v>
      </c>
      <c r="D823" s="39">
        <v>0</v>
      </c>
      <c r="E823" s="39">
        <v>3</v>
      </c>
      <c r="F823" s="18">
        <f t="shared" si="24"/>
        <v>3</v>
      </c>
      <c r="G823" s="18">
        <f t="shared" si="25"/>
        <v>0</v>
      </c>
    </row>
    <row r="824" spans="1:7" x14ac:dyDescent="0.35">
      <c r="A824" s="21">
        <v>7</v>
      </c>
      <c r="B824" s="38" t="s">
        <v>145</v>
      </c>
      <c r="C824" s="38" t="s">
        <v>62</v>
      </c>
      <c r="D824" s="39">
        <v>0</v>
      </c>
      <c r="E824" s="39">
        <v>0</v>
      </c>
      <c r="F824" s="18">
        <f t="shared" si="24"/>
        <v>0</v>
      </c>
      <c r="G824" s="18">
        <f t="shared" si="25"/>
        <v>0</v>
      </c>
    </row>
    <row r="825" spans="1:7" x14ac:dyDescent="0.35">
      <c r="A825" s="21">
        <v>8</v>
      </c>
      <c r="B825" s="38" t="s">
        <v>145</v>
      </c>
      <c r="C825" s="38" t="s">
        <v>62</v>
      </c>
      <c r="D825" s="39">
        <v>0</v>
      </c>
      <c r="E825" s="39">
        <v>0</v>
      </c>
      <c r="F825" s="18">
        <f t="shared" si="24"/>
        <v>0</v>
      </c>
      <c r="G825" s="18">
        <f t="shared" si="25"/>
        <v>0</v>
      </c>
    </row>
    <row r="826" spans="1:7" x14ac:dyDescent="0.35">
      <c r="A826" s="21">
        <v>9</v>
      </c>
      <c r="B826" s="38" t="s">
        <v>145</v>
      </c>
      <c r="C826" s="38" t="s">
        <v>62</v>
      </c>
      <c r="D826" s="39">
        <v>0</v>
      </c>
      <c r="E826" s="39">
        <v>0</v>
      </c>
      <c r="F826" s="18">
        <f t="shared" si="24"/>
        <v>0</v>
      </c>
      <c r="G826" s="18">
        <f t="shared" si="25"/>
        <v>0</v>
      </c>
    </row>
    <row r="827" spans="1:7" x14ac:dyDescent="0.35">
      <c r="A827" s="21">
        <v>10</v>
      </c>
      <c r="B827" s="38" t="s">
        <v>145</v>
      </c>
      <c r="C827" s="38" t="s">
        <v>62</v>
      </c>
      <c r="D827" s="39">
        <v>0</v>
      </c>
      <c r="E827" s="39">
        <v>0</v>
      </c>
      <c r="F827" s="18">
        <f t="shared" si="24"/>
        <v>0</v>
      </c>
      <c r="G827" s="18">
        <f t="shared" si="25"/>
        <v>0</v>
      </c>
    </row>
    <row r="828" spans="1:7" x14ac:dyDescent="0.35">
      <c r="A828" s="21">
        <v>11</v>
      </c>
      <c r="B828" s="38" t="s">
        <v>145</v>
      </c>
      <c r="C828" s="38" t="s">
        <v>62</v>
      </c>
      <c r="D828" s="39">
        <v>0</v>
      </c>
      <c r="E828" s="39">
        <v>0</v>
      </c>
      <c r="F828" s="18">
        <f t="shared" si="24"/>
        <v>0</v>
      </c>
      <c r="G828" s="18">
        <f t="shared" si="25"/>
        <v>0</v>
      </c>
    </row>
    <row r="829" spans="1:7" x14ac:dyDescent="0.35">
      <c r="A829" s="21">
        <v>12</v>
      </c>
      <c r="B829" s="38" t="s">
        <v>145</v>
      </c>
      <c r="C829" s="38" t="s">
        <v>62</v>
      </c>
      <c r="D829" s="39">
        <v>0</v>
      </c>
      <c r="E829" s="39">
        <v>0</v>
      </c>
      <c r="F829" s="18">
        <f t="shared" si="24"/>
        <v>0</v>
      </c>
      <c r="G829" s="18">
        <f t="shared" si="25"/>
        <v>0</v>
      </c>
    </row>
    <row r="830" spans="1:7" x14ac:dyDescent="0.35">
      <c r="A830" s="21">
        <v>1</v>
      </c>
      <c r="B830" s="38" t="s">
        <v>145</v>
      </c>
      <c r="C830" s="38" t="s">
        <v>64</v>
      </c>
      <c r="D830" s="39">
        <v>102</v>
      </c>
      <c r="E830" s="39">
        <v>27</v>
      </c>
      <c r="F830" s="18">
        <f t="shared" si="24"/>
        <v>0</v>
      </c>
      <c r="G830" s="18">
        <f t="shared" si="25"/>
        <v>75</v>
      </c>
    </row>
    <row r="831" spans="1:7" x14ac:dyDescent="0.35">
      <c r="A831" s="21">
        <v>2</v>
      </c>
      <c r="B831" s="38" t="s">
        <v>145</v>
      </c>
      <c r="C831" s="38" t="s">
        <v>64</v>
      </c>
      <c r="D831" s="39">
        <v>0</v>
      </c>
      <c r="E831" s="39">
        <v>22</v>
      </c>
      <c r="F831" s="18">
        <f t="shared" si="24"/>
        <v>75</v>
      </c>
      <c r="G831" s="18">
        <f t="shared" si="25"/>
        <v>53</v>
      </c>
    </row>
    <row r="832" spans="1:7" x14ac:dyDescent="0.35">
      <c r="A832" s="21">
        <v>3</v>
      </c>
      <c r="B832" s="38" t="s">
        <v>145</v>
      </c>
      <c r="C832" s="38" t="s">
        <v>64</v>
      </c>
      <c r="D832" s="39">
        <v>0</v>
      </c>
      <c r="E832" s="39">
        <v>18</v>
      </c>
      <c r="F832" s="18">
        <f t="shared" si="24"/>
        <v>53</v>
      </c>
      <c r="G832" s="18">
        <f t="shared" si="25"/>
        <v>35</v>
      </c>
    </row>
    <row r="833" spans="1:7" x14ac:dyDescent="0.35">
      <c r="A833" s="21">
        <v>4</v>
      </c>
      <c r="B833" s="38" t="s">
        <v>145</v>
      </c>
      <c r="C833" s="38" t="s">
        <v>64</v>
      </c>
      <c r="D833" s="39">
        <v>0</v>
      </c>
      <c r="E833" s="39">
        <v>15</v>
      </c>
      <c r="F833" s="18">
        <f t="shared" si="24"/>
        <v>35</v>
      </c>
      <c r="G833" s="18">
        <f t="shared" si="25"/>
        <v>20</v>
      </c>
    </row>
    <row r="834" spans="1:7" x14ac:dyDescent="0.35">
      <c r="A834" s="21">
        <v>5</v>
      </c>
      <c r="B834" s="38" t="s">
        <v>145</v>
      </c>
      <c r="C834" s="38" t="s">
        <v>64</v>
      </c>
      <c r="D834" s="39">
        <v>0</v>
      </c>
      <c r="E834" s="39">
        <v>8</v>
      </c>
      <c r="F834" s="18">
        <f t="shared" ref="F834:F897" si="26">IF(A834=1,0,G833)</f>
        <v>20</v>
      </c>
      <c r="G834" s="18">
        <f t="shared" ref="G834:G897" si="27">F834+D834-E834</f>
        <v>12</v>
      </c>
    </row>
    <row r="835" spans="1:7" x14ac:dyDescent="0.35">
      <c r="A835" s="21">
        <v>6</v>
      </c>
      <c r="B835" s="38" t="s">
        <v>145</v>
      </c>
      <c r="C835" s="38" t="s">
        <v>64</v>
      </c>
      <c r="D835" s="39">
        <v>0</v>
      </c>
      <c r="E835" s="39">
        <v>7</v>
      </c>
      <c r="F835" s="18">
        <f t="shared" si="26"/>
        <v>12</v>
      </c>
      <c r="G835" s="18">
        <f t="shared" si="27"/>
        <v>5</v>
      </c>
    </row>
    <row r="836" spans="1:7" x14ac:dyDescent="0.35">
      <c r="A836" s="21">
        <v>7</v>
      </c>
      <c r="B836" s="38" t="s">
        <v>145</v>
      </c>
      <c r="C836" s="38" t="s">
        <v>64</v>
      </c>
      <c r="D836" s="39">
        <v>0</v>
      </c>
      <c r="E836" s="39">
        <v>5</v>
      </c>
      <c r="F836" s="18">
        <f t="shared" si="26"/>
        <v>5</v>
      </c>
      <c r="G836" s="18">
        <f t="shared" si="27"/>
        <v>0</v>
      </c>
    </row>
    <row r="837" spans="1:7" x14ac:dyDescent="0.35">
      <c r="A837" s="21">
        <v>8</v>
      </c>
      <c r="B837" s="38" t="s">
        <v>145</v>
      </c>
      <c r="C837" s="38" t="s">
        <v>64</v>
      </c>
      <c r="D837" s="39">
        <v>0</v>
      </c>
      <c r="E837" s="39">
        <v>0</v>
      </c>
      <c r="F837" s="18">
        <f t="shared" si="26"/>
        <v>0</v>
      </c>
      <c r="G837" s="18">
        <f t="shared" si="27"/>
        <v>0</v>
      </c>
    </row>
    <row r="838" spans="1:7" x14ac:dyDescent="0.35">
      <c r="A838" s="21">
        <v>9</v>
      </c>
      <c r="B838" s="38" t="s">
        <v>145</v>
      </c>
      <c r="C838" s="38" t="s">
        <v>64</v>
      </c>
      <c r="D838" s="39">
        <v>0</v>
      </c>
      <c r="E838" s="39">
        <v>0</v>
      </c>
      <c r="F838" s="18">
        <f t="shared" si="26"/>
        <v>0</v>
      </c>
      <c r="G838" s="18">
        <f t="shared" si="27"/>
        <v>0</v>
      </c>
    </row>
    <row r="839" spans="1:7" x14ac:dyDescent="0.35">
      <c r="A839" s="21">
        <v>10</v>
      </c>
      <c r="B839" s="38" t="s">
        <v>145</v>
      </c>
      <c r="C839" s="38" t="s">
        <v>64</v>
      </c>
      <c r="D839" s="39">
        <v>0</v>
      </c>
      <c r="E839" s="39">
        <v>0</v>
      </c>
      <c r="F839" s="18">
        <f t="shared" si="26"/>
        <v>0</v>
      </c>
      <c r="G839" s="18">
        <f t="shared" si="27"/>
        <v>0</v>
      </c>
    </row>
    <row r="840" spans="1:7" x14ac:dyDescent="0.35">
      <c r="A840" s="21">
        <v>11</v>
      </c>
      <c r="B840" s="38" t="s">
        <v>145</v>
      </c>
      <c r="C840" s="38" t="s">
        <v>64</v>
      </c>
      <c r="D840" s="39">
        <v>0</v>
      </c>
      <c r="E840" s="39">
        <v>0</v>
      </c>
      <c r="F840" s="18">
        <f t="shared" si="26"/>
        <v>0</v>
      </c>
      <c r="G840" s="18">
        <f t="shared" si="27"/>
        <v>0</v>
      </c>
    </row>
    <row r="841" spans="1:7" x14ac:dyDescent="0.35">
      <c r="A841" s="21">
        <v>12</v>
      </c>
      <c r="B841" s="38" t="s">
        <v>145</v>
      </c>
      <c r="C841" s="38" t="s">
        <v>64</v>
      </c>
      <c r="D841" s="39">
        <v>0</v>
      </c>
      <c r="E841" s="39">
        <v>0</v>
      </c>
      <c r="F841" s="18">
        <f t="shared" si="26"/>
        <v>0</v>
      </c>
      <c r="G841" s="18">
        <f t="shared" si="27"/>
        <v>0</v>
      </c>
    </row>
    <row r="842" spans="1:7" x14ac:dyDescent="0.35">
      <c r="A842" s="21">
        <v>1</v>
      </c>
      <c r="B842" s="38" t="s">
        <v>145</v>
      </c>
      <c r="C842" s="38" t="s">
        <v>66</v>
      </c>
      <c r="D842" s="39">
        <v>55</v>
      </c>
      <c r="E842" s="39">
        <v>21</v>
      </c>
      <c r="F842" s="18">
        <f t="shared" si="26"/>
        <v>0</v>
      </c>
      <c r="G842" s="18">
        <f t="shared" si="27"/>
        <v>34</v>
      </c>
    </row>
    <row r="843" spans="1:7" x14ac:dyDescent="0.35">
      <c r="A843" s="21">
        <v>2</v>
      </c>
      <c r="B843" s="38" t="s">
        <v>145</v>
      </c>
      <c r="C843" s="38" t="s">
        <v>66</v>
      </c>
      <c r="D843" s="39">
        <v>0</v>
      </c>
      <c r="E843" s="39">
        <v>16</v>
      </c>
      <c r="F843" s="18">
        <f t="shared" si="26"/>
        <v>34</v>
      </c>
      <c r="G843" s="18">
        <f t="shared" si="27"/>
        <v>18</v>
      </c>
    </row>
    <row r="844" spans="1:7" x14ac:dyDescent="0.35">
      <c r="A844" s="21">
        <v>3</v>
      </c>
      <c r="B844" s="38" t="s">
        <v>145</v>
      </c>
      <c r="C844" s="38" t="s">
        <v>66</v>
      </c>
      <c r="D844" s="39">
        <v>0</v>
      </c>
      <c r="E844" s="39">
        <v>11</v>
      </c>
      <c r="F844" s="18">
        <f t="shared" si="26"/>
        <v>18</v>
      </c>
      <c r="G844" s="18">
        <f t="shared" si="27"/>
        <v>7</v>
      </c>
    </row>
    <row r="845" spans="1:7" x14ac:dyDescent="0.35">
      <c r="A845" s="21">
        <v>4</v>
      </c>
      <c r="B845" s="38" t="s">
        <v>145</v>
      </c>
      <c r="C845" s="38" t="s">
        <v>66</v>
      </c>
      <c r="D845" s="39">
        <v>0</v>
      </c>
      <c r="E845" s="39">
        <v>7</v>
      </c>
      <c r="F845" s="18">
        <f t="shared" si="26"/>
        <v>7</v>
      </c>
      <c r="G845" s="18">
        <f t="shared" si="27"/>
        <v>0</v>
      </c>
    </row>
    <row r="846" spans="1:7" x14ac:dyDescent="0.35">
      <c r="A846" s="21">
        <v>5</v>
      </c>
      <c r="B846" s="38" t="s">
        <v>145</v>
      </c>
      <c r="C846" s="38" t="s">
        <v>66</v>
      </c>
      <c r="D846" s="39">
        <v>0</v>
      </c>
      <c r="E846" s="39">
        <v>0</v>
      </c>
      <c r="F846" s="18">
        <f t="shared" si="26"/>
        <v>0</v>
      </c>
      <c r="G846" s="18">
        <f t="shared" si="27"/>
        <v>0</v>
      </c>
    </row>
    <row r="847" spans="1:7" x14ac:dyDescent="0.35">
      <c r="A847" s="21">
        <v>6</v>
      </c>
      <c r="B847" s="38" t="s">
        <v>145</v>
      </c>
      <c r="C847" s="38" t="s">
        <v>66</v>
      </c>
      <c r="D847" s="39">
        <v>0</v>
      </c>
      <c r="E847" s="39">
        <v>0</v>
      </c>
      <c r="F847" s="18">
        <f t="shared" si="26"/>
        <v>0</v>
      </c>
      <c r="G847" s="18">
        <f t="shared" si="27"/>
        <v>0</v>
      </c>
    </row>
    <row r="848" spans="1:7" x14ac:dyDescent="0.35">
      <c r="A848" s="21">
        <v>7</v>
      </c>
      <c r="B848" s="38" t="s">
        <v>145</v>
      </c>
      <c r="C848" s="38" t="s">
        <v>66</v>
      </c>
      <c r="D848" s="39">
        <v>0</v>
      </c>
      <c r="E848" s="39">
        <v>0</v>
      </c>
      <c r="F848" s="18">
        <f t="shared" si="26"/>
        <v>0</v>
      </c>
      <c r="G848" s="18">
        <f t="shared" si="27"/>
        <v>0</v>
      </c>
    </row>
    <row r="849" spans="1:7" x14ac:dyDescent="0.35">
      <c r="A849" s="21">
        <v>8</v>
      </c>
      <c r="B849" s="38" t="s">
        <v>145</v>
      </c>
      <c r="C849" s="38" t="s">
        <v>66</v>
      </c>
      <c r="D849" s="39">
        <v>0</v>
      </c>
      <c r="E849" s="39">
        <v>0</v>
      </c>
      <c r="F849" s="18">
        <f t="shared" si="26"/>
        <v>0</v>
      </c>
      <c r="G849" s="18">
        <f t="shared" si="27"/>
        <v>0</v>
      </c>
    </row>
    <row r="850" spans="1:7" x14ac:dyDescent="0.35">
      <c r="A850" s="21">
        <v>9</v>
      </c>
      <c r="B850" s="38" t="s">
        <v>145</v>
      </c>
      <c r="C850" s="38" t="s">
        <v>66</v>
      </c>
      <c r="D850" s="39">
        <v>0</v>
      </c>
      <c r="E850" s="39">
        <v>0</v>
      </c>
      <c r="F850" s="18">
        <f t="shared" si="26"/>
        <v>0</v>
      </c>
      <c r="G850" s="18">
        <f t="shared" si="27"/>
        <v>0</v>
      </c>
    </row>
    <row r="851" spans="1:7" x14ac:dyDescent="0.35">
      <c r="A851" s="21">
        <v>10</v>
      </c>
      <c r="B851" s="38" t="s">
        <v>145</v>
      </c>
      <c r="C851" s="38" t="s">
        <v>66</v>
      </c>
      <c r="D851" s="39">
        <v>0</v>
      </c>
      <c r="E851" s="39">
        <v>0</v>
      </c>
      <c r="F851" s="18">
        <f t="shared" si="26"/>
        <v>0</v>
      </c>
      <c r="G851" s="18">
        <f t="shared" si="27"/>
        <v>0</v>
      </c>
    </row>
    <row r="852" spans="1:7" x14ac:dyDescent="0.35">
      <c r="A852" s="21">
        <v>11</v>
      </c>
      <c r="B852" s="38" t="s">
        <v>145</v>
      </c>
      <c r="C852" s="38" t="s">
        <v>66</v>
      </c>
      <c r="D852" s="39">
        <v>0</v>
      </c>
      <c r="E852" s="39">
        <v>0</v>
      </c>
      <c r="F852" s="18">
        <f t="shared" si="26"/>
        <v>0</v>
      </c>
      <c r="G852" s="18">
        <f t="shared" si="27"/>
        <v>0</v>
      </c>
    </row>
    <row r="853" spans="1:7" x14ac:dyDescent="0.35">
      <c r="A853" s="21">
        <v>12</v>
      </c>
      <c r="B853" s="38" t="s">
        <v>145</v>
      </c>
      <c r="C853" s="38" t="s">
        <v>66</v>
      </c>
      <c r="D853" s="39">
        <v>0</v>
      </c>
      <c r="E853" s="39">
        <v>0</v>
      </c>
      <c r="F853" s="18">
        <f t="shared" si="26"/>
        <v>0</v>
      </c>
      <c r="G853" s="18">
        <f t="shared" si="27"/>
        <v>0</v>
      </c>
    </row>
    <row r="854" spans="1:7" x14ac:dyDescent="0.35">
      <c r="A854" s="21">
        <v>1</v>
      </c>
      <c r="B854" s="38" t="s">
        <v>145</v>
      </c>
      <c r="C854" s="38" t="s">
        <v>68</v>
      </c>
      <c r="D854" s="39">
        <v>88</v>
      </c>
      <c r="E854" s="39">
        <v>33</v>
      </c>
      <c r="F854" s="18">
        <f t="shared" si="26"/>
        <v>0</v>
      </c>
      <c r="G854" s="18">
        <f t="shared" si="27"/>
        <v>55</v>
      </c>
    </row>
    <row r="855" spans="1:7" x14ac:dyDescent="0.35">
      <c r="A855" s="21">
        <v>2</v>
      </c>
      <c r="B855" s="38" t="s">
        <v>145</v>
      </c>
      <c r="C855" s="38" t="s">
        <v>68</v>
      </c>
      <c r="D855" s="39">
        <v>0</v>
      </c>
      <c r="E855" s="39">
        <v>18</v>
      </c>
      <c r="F855" s="18">
        <f t="shared" si="26"/>
        <v>55</v>
      </c>
      <c r="G855" s="18">
        <f t="shared" si="27"/>
        <v>37</v>
      </c>
    </row>
    <row r="856" spans="1:7" x14ac:dyDescent="0.35">
      <c r="A856" s="21">
        <v>3</v>
      </c>
      <c r="B856" s="38" t="s">
        <v>145</v>
      </c>
      <c r="C856" s="38" t="s">
        <v>68</v>
      </c>
      <c r="D856" s="39">
        <v>0</v>
      </c>
      <c r="E856" s="39">
        <v>15</v>
      </c>
      <c r="F856" s="18">
        <f t="shared" si="26"/>
        <v>37</v>
      </c>
      <c r="G856" s="18">
        <f t="shared" si="27"/>
        <v>22</v>
      </c>
    </row>
    <row r="857" spans="1:7" x14ac:dyDescent="0.35">
      <c r="A857" s="21">
        <v>4</v>
      </c>
      <c r="B857" s="38" t="s">
        <v>145</v>
      </c>
      <c r="C857" s="38" t="s">
        <v>68</v>
      </c>
      <c r="D857" s="39">
        <v>0</v>
      </c>
      <c r="E857" s="39">
        <v>11</v>
      </c>
      <c r="F857" s="18">
        <f t="shared" si="26"/>
        <v>22</v>
      </c>
      <c r="G857" s="18">
        <f t="shared" si="27"/>
        <v>11</v>
      </c>
    </row>
    <row r="858" spans="1:7" x14ac:dyDescent="0.35">
      <c r="A858" s="21">
        <v>5</v>
      </c>
      <c r="B858" s="38" t="s">
        <v>145</v>
      </c>
      <c r="C858" s="38" t="s">
        <v>68</v>
      </c>
      <c r="D858" s="39">
        <v>0</v>
      </c>
      <c r="E858" s="39">
        <v>10</v>
      </c>
      <c r="F858" s="18">
        <f t="shared" si="26"/>
        <v>11</v>
      </c>
      <c r="G858" s="18">
        <f t="shared" si="27"/>
        <v>1</v>
      </c>
    </row>
    <row r="859" spans="1:7" x14ac:dyDescent="0.35">
      <c r="A859" s="21">
        <v>6</v>
      </c>
      <c r="B859" s="38" t="s">
        <v>145</v>
      </c>
      <c r="C859" s="38" t="s">
        <v>68</v>
      </c>
      <c r="D859" s="39">
        <v>0</v>
      </c>
      <c r="E859" s="39">
        <v>1</v>
      </c>
      <c r="F859" s="18">
        <f t="shared" si="26"/>
        <v>1</v>
      </c>
      <c r="G859" s="18">
        <f t="shared" si="27"/>
        <v>0</v>
      </c>
    </row>
    <row r="860" spans="1:7" x14ac:dyDescent="0.35">
      <c r="A860" s="21">
        <v>7</v>
      </c>
      <c r="B860" s="38" t="s">
        <v>145</v>
      </c>
      <c r="C860" s="38" t="s">
        <v>68</v>
      </c>
      <c r="D860" s="39">
        <v>0</v>
      </c>
      <c r="E860" s="39">
        <v>0</v>
      </c>
      <c r="F860" s="18">
        <f t="shared" si="26"/>
        <v>0</v>
      </c>
      <c r="G860" s="18">
        <f t="shared" si="27"/>
        <v>0</v>
      </c>
    </row>
    <row r="861" spans="1:7" x14ac:dyDescent="0.35">
      <c r="A861" s="21">
        <v>8</v>
      </c>
      <c r="B861" s="38" t="s">
        <v>145</v>
      </c>
      <c r="C861" s="38" t="s">
        <v>68</v>
      </c>
      <c r="D861" s="39">
        <v>0</v>
      </c>
      <c r="E861" s="39">
        <v>0</v>
      </c>
      <c r="F861" s="18">
        <f t="shared" si="26"/>
        <v>0</v>
      </c>
      <c r="G861" s="18">
        <f t="shared" si="27"/>
        <v>0</v>
      </c>
    </row>
    <row r="862" spans="1:7" x14ac:dyDescent="0.35">
      <c r="A862" s="21">
        <v>9</v>
      </c>
      <c r="B862" s="38" t="s">
        <v>145</v>
      </c>
      <c r="C862" s="38" t="s">
        <v>68</v>
      </c>
      <c r="D862" s="39">
        <v>0</v>
      </c>
      <c r="E862" s="39">
        <v>0</v>
      </c>
      <c r="F862" s="18">
        <f t="shared" si="26"/>
        <v>0</v>
      </c>
      <c r="G862" s="18">
        <f t="shared" si="27"/>
        <v>0</v>
      </c>
    </row>
    <row r="863" spans="1:7" x14ac:dyDescent="0.35">
      <c r="A863" s="21">
        <v>10</v>
      </c>
      <c r="B863" s="38" t="s">
        <v>145</v>
      </c>
      <c r="C863" s="38" t="s">
        <v>68</v>
      </c>
      <c r="D863" s="39">
        <v>0</v>
      </c>
      <c r="E863" s="39">
        <v>0</v>
      </c>
      <c r="F863" s="18">
        <f t="shared" si="26"/>
        <v>0</v>
      </c>
      <c r="G863" s="18">
        <f t="shared" si="27"/>
        <v>0</v>
      </c>
    </row>
    <row r="864" spans="1:7" x14ac:dyDescent="0.35">
      <c r="A864" s="21">
        <v>11</v>
      </c>
      <c r="B864" s="38" t="s">
        <v>145</v>
      </c>
      <c r="C864" s="38" t="s">
        <v>68</v>
      </c>
      <c r="D864" s="39">
        <v>0</v>
      </c>
      <c r="E864" s="39">
        <v>0</v>
      </c>
      <c r="F864" s="18">
        <f t="shared" si="26"/>
        <v>0</v>
      </c>
      <c r="G864" s="18">
        <f t="shared" si="27"/>
        <v>0</v>
      </c>
    </row>
    <row r="865" spans="1:7" x14ac:dyDescent="0.35">
      <c r="A865" s="21">
        <v>12</v>
      </c>
      <c r="B865" s="38" t="s">
        <v>145</v>
      </c>
      <c r="C865" s="38" t="s">
        <v>68</v>
      </c>
      <c r="D865" s="39">
        <v>0</v>
      </c>
      <c r="E865" s="39">
        <v>0</v>
      </c>
      <c r="F865" s="18">
        <f t="shared" si="26"/>
        <v>0</v>
      </c>
      <c r="G865" s="18">
        <f t="shared" si="27"/>
        <v>0</v>
      </c>
    </row>
    <row r="866" spans="1:7" x14ac:dyDescent="0.35">
      <c r="A866" s="21">
        <v>1</v>
      </c>
      <c r="B866" s="38" t="s">
        <v>147</v>
      </c>
      <c r="C866" s="38" t="s">
        <v>62</v>
      </c>
      <c r="D866" s="39">
        <v>126</v>
      </c>
      <c r="E866" s="39">
        <v>11</v>
      </c>
      <c r="F866" s="18">
        <f t="shared" si="26"/>
        <v>0</v>
      </c>
      <c r="G866" s="18">
        <f t="shared" si="27"/>
        <v>115</v>
      </c>
    </row>
    <row r="867" spans="1:7" x14ac:dyDescent="0.35">
      <c r="A867" s="21">
        <v>2</v>
      </c>
      <c r="B867" s="38" t="s">
        <v>147</v>
      </c>
      <c r="C867" s="38" t="s">
        <v>62</v>
      </c>
      <c r="D867" s="39">
        <v>0</v>
      </c>
      <c r="E867" s="39">
        <v>6</v>
      </c>
      <c r="F867" s="18">
        <f t="shared" si="26"/>
        <v>115</v>
      </c>
      <c r="G867" s="18">
        <f t="shared" si="27"/>
        <v>109</v>
      </c>
    </row>
    <row r="868" spans="1:7" x14ac:dyDescent="0.35">
      <c r="A868" s="21">
        <v>3</v>
      </c>
      <c r="B868" s="38" t="s">
        <v>147</v>
      </c>
      <c r="C868" s="38" t="s">
        <v>62</v>
      </c>
      <c r="D868" s="39">
        <v>0</v>
      </c>
      <c r="E868" s="39">
        <v>7</v>
      </c>
      <c r="F868" s="18">
        <f t="shared" si="26"/>
        <v>109</v>
      </c>
      <c r="G868" s="18">
        <f t="shared" si="27"/>
        <v>102</v>
      </c>
    </row>
    <row r="869" spans="1:7" x14ac:dyDescent="0.35">
      <c r="A869" s="21">
        <v>4</v>
      </c>
      <c r="B869" s="38" t="s">
        <v>147</v>
      </c>
      <c r="C869" s="38" t="s">
        <v>62</v>
      </c>
      <c r="D869" s="39">
        <v>0</v>
      </c>
      <c r="E869" s="39">
        <v>7</v>
      </c>
      <c r="F869" s="18">
        <f t="shared" si="26"/>
        <v>102</v>
      </c>
      <c r="G869" s="18">
        <f t="shared" si="27"/>
        <v>95</v>
      </c>
    </row>
    <row r="870" spans="1:7" x14ac:dyDescent="0.35">
      <c r="A870" s="21">
        <v>5</v>
      </c>
      <c r="B870" s="38" t="s">
        <v>147</v>
      </c>
      <c r="C870" s="38" t="s">
        <v>62</v>
      </c>
      <c r="D870" s="39">
        <v>0</v>
      </c>
      <c r="E870" s="39">
        <v>5</v>
      </c>
      <c r="F870" s="18">
        <f t="shared" si="26"/>
        <v>95</v>
      </c>
      <c r="G870" s="18">
        <f t="shared" si="27"/>
        <v>90</v>
      </c>
    </row>
    <row r="871" spans="1:7" x14ac:dyDescent="0.35">
      <c r="A871" s="21">
        <v>6</v>
      </c>
      <c r="B871" s="38" t="s">
        <v>147</v>
      </c>
      <c r="C871" s="38" t="s">
        <v>62</v>
      </c>
      <c r="D871" s="39">
        <v>0</v>
      </c>
      <c r="E871" s="39">
        <v>4</v>
      </c>
      <c r="F871" s="18">
        <f t="shared" si="26"/>
        <v>90</v>
      </c>
      <c r="G871" s="18">
        <f t="shared" si="27"/>
        <v>86</v>
      </c>
    </row>
    <row r="872" spans="1:7" x14ac:dyDescent="0.35">
      <c r="A872" s="21">
        <v>7</v>
      </c>
      <c r="B872" s="38" t="s">
        <v>147</v>
      </c>
      <c r="C872" s="38" t="s">
        <v>62</v>
      </c>
      <c r="D872" s="39">
        <v>0</v>
      </c>
      <c r="E872" s="39">
        <v>4</v>
      </c>
      <c r="F872" s="18">
        <f t="shared" si="26"/>
        <v>86</v>
      </c>
      <c r="G872" s="18">
        <f t="shared" si="27"/>
        <v>82</v>
      </c>
    </row>
    <row r="873" spans="1:7" x14ac:dyDescent="0.35">
      <c r="A873" s="21">
        <v>8</v>
      </c>
      <c r="B873" s="38" t="s">
        <v>147</v>
      </c>
      <c r="C873" s="38" t="s">
        <v>62</v>
      </c>
      <c r="D873" s="39">
        <v>0</v>
      </c>
      <c r="E873" s="39">
        <v>5</v>
      </c>
      <c r="F873" s="18">
        <f t="shared" si="26"/>
        <v>82</v>
      </c>
      <c r="G873" s="18">
        <f t="shared" si="27"/>
        <v>77</v>
      </c>
    </row>
    <row r="874" spans="1:7" x14ac:dyDescent="0.35">
      <c r="A874" s="21">
        <v>9</v>
      </c>
      <c r="B874" s="38" t="s">
        <v>147</v>
      </c>
      <c r="C874" s="38" t="s">
        <v>62</v>
      </c>
      <c r="D874" s="39">
        <v>0</v>
      </c>
      <c r="E874" s="39">
        <v>3</v>
      </c>
      <c r="F874" s="18">
        <f t="shared" si="26"/>
        <v>77</v>
      </c>
      <c r="G874" s="18">
        <f t="shared" si="27"/>
        <v>74</v>
      </c>
    </row>
    <row r="875" spans="1:7" x14ac:dyDescent="0.35">
      <c r="A875" s="21">
        <v>10</v>
      </c>
      <c r="B875" s="38" t="s">
        <v>147</v>
      </c>
      <c r="C875" s="38" t="s">
        <v>62</v>
      </c>
      <c r="D875" s="39">
        <v>0</v>
      </c>
      <c r="E875" s="39">
        <v>3</v>
      </c>
      <c r="F875" s="18">
        <f t="shared" si="26"/>
        <v>74</v>
      </c>
      <c r="G875" s="18">
        <f t="shared" si="27"/>
        <v>71</v>
      </c>
    </row>
    <row r="876" spans="1:7" x14ac:dyDescent="0.35">
      <c r="A876" s="21">
        <v>11</v>
      </c>
      <c r="B876" s="38" t="s">
        <v>147</v>
      </c>
      <c r="C876" s="38" t="s">
        <v>62</v>
      </c>
      <c r="D876" s="39">
        <v>0</v>
      </c>
      <c r="E876" s="39">
        <v>2</v>
      </c>
      <c r="F876" s="18">
        <f t="shared" si="26"/>
        <v>71</v>
      </c>
      <c r="G876" s="18">
        <f t="shared" si="27"/>
        <v>69</v>
      </c>
    </row>
    <row r="877" spans="1:7" x14ac:dyDescent="0.35">
      <c r="A877" s="21">
        <v>12</v>
      </c>
      <c r="B877" s="38" t="s">
        <v>147</v>
      </c>
      <c r="C877" s="38" t="s">
        <v>62</v>
      </c>
      <c r="D877" s="39">
        <v>0</v>
      </c>
      <c r="E877" s="39">
        <v>2</v>
      </c>
      <c r="F877" s="18">
        <f t="shared" si="26"/>
        <v>69</v>
      </c>
      <c r="G877" s="18">
        <f t="shared" si="27"/>
        <v>67</v>
      </c>
    </row>
    <row r="878" spans="1:7" x14ac:dyDescent="0.35">
      <c r="A878" s="21">
        <v>1</v>
      </c>
      <c r="B878" s="38" t="s">
        <v>147</v>
      </c>
      <c r="C878" s="38" t="s">
        <v>64</v>
      </c>
      <c r="D878" s="39">
        <v>181</v>
      </c>
      <c r="E878" s="39">
        <v>10</v>
      </c>
      <c r="F878" s="18">
        <f t="shared" si="26"/>
        <v>0</v>
      </c>
      <c r="G878" s="18">
        <f t="shared" si="27"/>
        <v>171</v>
      </c>
    </row>
    <row r="879" spans="1:7" x14ac:dyDescent="0.35">
      <c r="A879" s="21">
        <v>2</v>
      </c>
      <c r="B879" s="38" t="s">
        <v>147</v>
      </c>
      <c r="C879" s="38" t="s">
        <v>64</v>
      </c>
      <c r="D879" s="39">
        <v>0</v>
      </c>
      <c r="E879" s="39">
        <v>11</v>
      </c>
      <c r="F879" s="18">
        <f t="shared" si="26"/>
        <v>171</v>
      </c>
      <c r="G879" s="18">
        <f t="shared" si="27"/>
        <v>160</v>
      </c>
    </row>
    <row r="880" spans="1:7" x14ac:dyDescent="0.35">
      <c r="A880" s="21">
        <v>3</v>
      </c>
      <c r="B880" s="38" t="s">
        <v>147</v>
      </c>
      <c r="C880" s="38" t="s">
        <v>64</v>
      </c>
      <c r="D880" s="39">
        <v>0</v>
      </c>
      <c r="E880" s="39">
        <v>10</v>
      </c>
      <c r="F880" s="18">
        <f t="shared" si="26"/>
        <v>160</v>
      </c>
      <c r="G880" s="18">
        <f t="shared" si="27"/>
        <v>150</v>
      </c>
    </row>
    <row r="881" spans="1:7" x14ac:dyDescent="0.35">
      <c r="A881" s="21">
        <v>4</v>
      </c>
      <c r="B881" s="38" t="s">
        <v>147</v>
      </c>
      <c r="C881" s="38" t="s">
        <v>64</v>
      </c>
      <c r="D881" s="39">
        <v>0</v>
      </c>
      <c r="E881" s="39">
        <v>10</v>
      </c>
      <c r="F881" s="18">
        <f t="shared" si="26"/>
        <v>150</v>
      </c>
      <c r="G881" s="18">
        <f t="shared" si="27"/>
        <v>140</v>
      </c>
    </row>
    <row r="882" spans="1:7" x14ac:dyDescent="0.35">
      <c r="A882" s="21">
        <v>5</v>
      </c>
      <c r="B882" s="38" t="s">
        <v>147</v>
      </c>
      <c r="C882" s="38" t="s">
        <v>64</v>
      </c>
      <c r="D882" s="39">
        <v>0</v>
      </c>
      <c r="E882" s="39">
        <v>5</v>
      </c>
      <c r="F882" s="18">
        <f t="shared" si="26"/>
        <v>140</v>
      </c>
      <c r="G882" s="18">
        <f t="shared" si="27"/>
        <v>135</v>
      </c>
    </row>
    <row r="883" spans="1:7" x14ac:dyDescent="0.35">
      <c r="A883" s="21">
        <v>6</v>
      </c>
      <c r="B883" s="38" t="s">
        <v>147</v>
      </c>
      <c r="C883" s="38" t="s">
        <v>64</v>
      </c>
      <c r="D883" s="39">
        <v>0</v>
      </c>
      <c r="E883" s="39">
        <v>8</v>
      </c>
      <c r="F883" s="18">
        <f t="shared" si="26"/>
        <v>135</v>
      </c>
      <c r="G883" s="18">
        <f t="shared" si="27"/>
        <v>127</v>
      </c>
    </row>
    <row r="884" spans="1:7" x14ac:dyDescent="0.35">
      <c r="A884" s="21">
        <v>7</v>
      </c>
      <c r="B884" s="38" t="s">
        <v>147</v>
      </c>
      <c r="C884" s="38" t="s">
        <v>64</v>
      </c>
      <c r="D884" s="39">
        <v>0</v>
      </c>
      <c r="E884" s="39">
        <v>7</v>
      </c>
      <c r="F884" s="18">
        <f t="shared" si="26"/>
        <v>127</v>
      </c>
      <c r="G884" s="18">
        <f t="shared" si="27"/>
        <v>120</v>
      </c>
    </row>
    <row r="885" spans="1:7" x14ac:dyDescent="0.35">
      <c r="A885" s="21">
        <v>8</v>
      </c>
      <c r="B885" s="38" t="s">
        <v>147</v>
      </c>
      <c r="C885" s="38" t="s">
        <v>64</v>
      </c>
      <c r="D885" s="39">
        <v>0</v>
      </c>
      <c r="E885" s="39">
        <v>4</v>
      </c>
      <c r="F885" s="18">
        <f t="shared" si="26"/>
        <v>120</v>
      </c>
      <c r="G885" s="18">
        <f t="shared" si="27"/>
        <v>116</v>
      </c>
    </row>
    <row r="886" spans="1:7" x14ac:dyDescent="0.35">
      <c r="A886" s="21">
        <v>9</v>
      </c>
      <c r="B886" s="38" t="s">
        <v>147</v>
      </c>
      <c r="C886" s="38" t="s">
        <v>64</v>
      </c>
      <c r="D886" s="39">
        <v>0</v>
      </c>
      <c r="E886" s="39">
        <v>6</v>
      </c>
      <c r="F886" s="18">
        <f t="shared" si="26"/>
        <v>116</v>
      </c>
      <c r="G886" s="18">
        <f t="shared" si="27"/>
        <v>110</v>
      </c>
    </row>
    <row r="887" spans="1:7" x14ac:dyDescent="0.35">
      <c r="A887" s="21">
        <v>10</v>
      </c>
      <c r="B887" s="38" t="s">
        <v>147</v>
      </c>
      <c r="C887" s="38" t="s">
        <v>64</v>
      </c>
      <c r="D887" s="39">
        <v>0</v>
      </c>
      <c r="E887" s="39">
        <v>5</v>
      </c>
      <c r="F887" s="18">
        <f t="shared" si="26"/>
        <v>110</v>
      </c>
      <c r="G887" s="18">
        <f t="shared" si="27"/>
        <v>105</v>
      </c>
    </row>
    <row r="888" spans="1:7" x14ac:dyDescent="0.35">
      <c r="A888" s="21">
        <v>11</v>
      </c>
      <c r="B888" s="38" t="s">
        <v>147</v>
      </c>
      <c r="C888" s="38" t="s">
        <v>64</v>
      </c>
      <c r="D888" s="39">
        <v>0</v>
      </c>
      <c r="E888" s="39">
        <v>3</v>
      </c>
      <c r="F888" s="18">
        <f t="shared" si="26"/>
        <v>105</v>
      </c>
      <c r="G888" s="18">
        <f t="shared" si="27"/>
        <v>102</v>
      </c>
    </row>
    <row r="889" spans="1:7" x14ac:dyDescent="0.35">
      <c r="A889" s="21">
        <v>12</v>
      </c>
      <c r="B889" s="38" t="s">
        <v>147</v>
      </c>
      <c r="C889" s="38" t="s">
        <v>64</v>
      </c>
      <c r="D889" s="39">
        <v>0</v>
      </c>
      <c r="E889" s="39">
        <v>4</v>
      </c>
      <c r="F889" s="18">
        <f t="shared" si="26"/>
        <v>102</v>
      </c>
      <c r="G889" s="18">
        <f t="shared" si="27"/>
        <v>98</v>
      </c>
    </row>
    <row r="890" spans="1:7" x14ac:dyDescent="0.35">
      <c r="A890" s="21">
        <v>1</v>
      </c>
      <c r="B890" s="38" t="s">
        <v>147</v>
      </c>
      <c r="C890" s="38" t="s">
        <v>66</v>
      </c>
      <c r="D890" s="39">
        <v>110</v>
      </c>
      <c r="E890" s="39">
        <v>8</v>
      </c>
      <c r="F890" s="18">
        <f t="shared" si="26"/>
        <v>0</v>
      </c>
      <c r="G890" s="18">
        <f t="shared" si="27"/>
        <v>102</v>
      </c>
    </row>
    <row r="891" spans="1:7" x14ac:dyDescent="0.35">
      <c r="A891" s="21">
        <v>2</v>
      </c>
      <c r="B891" s="38" t="s">
        <v>147</v>
      </c>
      <c r="C891" s="38" t="s">
        <v>66</v>
      </c>
      <c r="D891" s="39">
        <v>0</v>
      </c>
      <c r="E891" s="39">
        <v>9</v>
      </c>
      <c r="F891" s="18">
        <f t="shared" si="26"/>
        <v>102</v>
      </c>
      <c r="G891" s="18">
        <f t="shared" si="27"/>
        <v>93</v>
      </c>
    </row>
    <row r="892" spans="1:7" x14ac:dyDescent="0.35">
      <c r="A892" s="21">
        <v>3</v>
      </c>
      <c r="B892" s="38" t="s">
        <v>147</v>
      </c>
      <c r="C892" s="38" t="s">
        <v>66</v>
      </c>
      <c r="D892" s="39">
        <v>0</v>
      </c>
      <c r="E892" s="39">
        <v>6</v>
      </c>
      <c r="F892" s="18">
        <f t="shared" si="26"/>
        <v>93</v>
      </c>
      <c r="G892" s="18">
        <f t="shared" si="27"/>
        <v>87</v>
      </c>
    </row>
    <row r="893" spans="1:7" x14ac:dyDescent="0.35">
      <c r="A893" s="21">
        <v>4</v>
      </c>
      <c r="B893" s="38" t="s">
        <v>147</v>
      </c>
      <c r="C893" s="38" t="s">
        <v>66</v>
      </c>
      <c r="D893" s="39">
        <v>0</v>
      </c>
      <c r="E893" s="39">
        <v>6</v>
      </c>
      <c r="F893" s="18">
        <f t="shared" si="26"/>
        <v>87</v>
      </c>
      <c r="G893" s="18">
        <f t="shared" si="27"/>
        <v>81</v>
      </c>
    </row>
    <row r="894" spans="1:7" x14ac:dyDescent="0.35">
      <c r="A894" s="21">
        <v>5</v>
      </c>
      <c r="B894" s="38" t="s">
        <v>147</v>
      </c>
      <c r="C894" s="38" t="s">
        <v>66</v>
      </c>
      <c r="D894" s="39">
        <v>0</v>
      </c>
      <c r="E894" s="39">
        <v>4</v>
      </c>
      <c r="F894" s="18">
        <f t="shared" si="26"/>
        <v>81</v>
      </c>
      <c r="G894" s="18">
        <f t="shared" si="27"/>
        <v>77</v>
      </c>
    </row>
    <row r="895" spans="1:7" x14ac:dyDescent="0.35">
      <c r="A895" s="21">
        <v>6</v>
      </c>
      <c r="B895" s="38" t="s">
        <v>147</v>
      </c>
      <c r="C895" s="38" t="s">
        <v>66</v>
      </c>
      <c r="D895" s="39">
        <v>0</v>
      </c>
      <c r="E895" s="39">
        <v>5</v>
      </c>
      <c r="F895" s="18">
        <f t="shared" si="26"/>
        <v>77</v>
      </c>
      <c r="G895" s="18">
        <f t="shared" si="27"/>
        <v>72</v>
      </c>
    </row>
    <row r="896" spans="1:7" x14ac:dyDescent="0.35">
      <c r="A896" s="21">
        <v>7</v>
      </c>
      <c r="B896" s="38" t="s">
        <v>147</v>
      </c>
      <c r="C896" s="38" t="s">
        <v>66</v>
      </c>
      <c r="D896" s="39">
        <v>0</v>
      </c>
      <c r="E896" s="39">
        <v>4</v>
      </c>
      <c r="F896" s="18">
        <f t="shared" si="26"/>
        <v>72</v>
      </c>
      <c r="G896" s="18">
        <f t="shared" si="27"/>
        <v>68</v>
      </c>
    </row>
    <row r="897" spans="1:7" x14ac:dyDescent="0.35">
      <c r="A897" s="21">
        <v>8</v>
      </c>
      <c r="B897" s="38" t="s">
        <v>147</v>
      </c>
      <c r="C897" s="38" t="s">
        <v>66</v>
      </c>
      <c r="D897" s="39">
        <v>0</v>
      </c>
      <c r="E897" s="39">
        <v>3</v>
      </c>
      <c r="F897" s="18">
        <f t="shared" si="26"/>
        <v>68</v>
      </c>
      <c r="G897" s="18">
        <f t="shared" si="27"/>
        <v>65</v>
      </c>
    </row>
    <row r="898" spans="1:7" x14ac:dyDescent="0.35">
      <c r="A898" s="21">
        <v>9</v>
      </c>
      <c r="B898" s="38" t="s">
        <v>147</v>
      </c>
      <c r="C898" s="38" t="s">
        <v>66</v>
      </c>
      <c r="D898" s="39">
        <v>0</v>
      </c>
      <c r="E898" s="39">
        <v>3</v>
      </c>
      <c r="F898" s="18">
        <f t="shared" ref="F898:F961" si="28">IF(A898=1,0,G897)</f>
        <v>65</v>
      </c>
      <c r="G898" s="18">
        <f t="shared" ref="G898:G961" si="29">F898+D898-E898</f>
        <v>62</v>
      </c>
    </row>
    <row r="899" spans="1:7" x14ac:dyDescent="0.35">
      <c r="A899" s="21">
        <v>10</v>
      </c>
      <c r="B899" s="38" t="s">
        <v>147</v>
      </c>
      <c r="C899" s="38" t="s">
        <v>66</v>
      </c>
      <c r="D899" s="39">
        <v>0</v>
      </c>
      <c r="E899" s="39">
        <v>2</v>
      </c>
      <c r="F899" s="18">
        <f t="shared" si="28"/>
        <v>62</v>
      </c>
      <c r="G899" s="18">
        <f t="shared" si="29"/>
        <v>60</v>
      </c>
    </row>
    <row r="900" spans="1:7" x14ac:dyDescent="0.35">
      <c r="A900" s="21">
        <v>11</v>
      </c>
      <c r="B900" s="38" t="s">
        <v>147</v>
      </c>
      <c r="C900" s="38" t="s">
        <v>66</v>
      </c>
      <c r="D900" s="39">
        <v>0</v>
      </c>
      <c r="E900" s="39">
        <v>2</v>
      </c>
      <c r="F900" s="18">
        <f t="shared" si="28"/>
        <v>60</v>
      </c>
      <c r="G900" s="18">
        <f t="shared" si="29"/>
        <v>58</v>
      </c>
    </row>
    <row r="901" spans="1:7" x14ac:dyDescent="0.35">
      <c r="A901" s="21">
        <v>12</v>
      </c>
      <c r="B901" s="38" t="s">
        <v>147</v>
      </c>
      <c r="C901" s="38" t="s">
        <v>66</v>
      </c>
      <c r="D901" s="39">
        <v>0</v>
      </c>
      <c r="E901" s="39">
        <v>2</v>
      </c>
      <c r="F901" s="18">
        <f t="shared" si="28"/>
        <v>58</v>
      </c>
      <c r="G901" s="18">
        <f t="shared" si="29"/>
        <v>56</v>
      </c>
    </row>
    <row r="902" spans="1:7" x14ac:dyDescent="0.35">
      <c r="A902" s="21">
        <v>1</v>
      </c>
      <c r="B902" s="38" t="s">
        <v>147</v>
      </c>
      <c r="C902" s="38" t="s">
        <v>68</v>
      </c>
      <c r="D902" s="39">
        <v>146</v>
      </c>
      <c r="E902" s="39">
        <v>7</v>
      </c>
      <c r="F902" s="18">
        <f t="shared" si="28"/>
        <v>0</v>
      </c>
      <c r="G902" s="18">
        <f t="shared" si="29"/>
        <v>139</v>
      </c>
    </row>
    <row r="903" spans="1:7" x14ac:dyDescent="0.35">
      <c r="A903" s="21">
        <v>2</v>
      </c>
      <c r="B903" s="38" t="s">
        <v>147</v>
      </c>
      <c r="C903" s="38" t="s">
        <v>68</v>
      </c>
      <c r="D903" s="39">
        <v>0</v>
      </c>
      <c r="E903" s="39">
        <v>7</v>
      </c>
      <c r="F903" s="18">
        <f t="shared" si="28"/>
        <v>139</v>
      </c>
      <c r="G903" s="18">
        <f t="shared" si="29"/>
        <v>132</v>
      </c>
    </row>
    <row r="904" spans="1:7" x14ac:dyDescent="0.35">
      <c r="A904" s="21">
        <v>3</v>
      </c>
      <c r="B904" s="38" t="s">
        <v>147</v>
      </c>
      <c r="C904" s="38" t="s">
        <v>68</v>
      </c>
      <c r="D904" s="39">
        <v>0</v>
      </c>
      <c r="E904" s="39">
        <v>9</v>
      </c>
      <c r="F904" s="18">
        <f t="shared" si="28"/>
        <v>132</v>
      </c>
      <c r="G904" s="18">
        <f t="shared" si="29"/>
        <v>123</v>
      </c>
    </row>
    <row r="905" spans="1:7" x14ac:dyDescent="0.35">
      <c r="A905" s="21">
        <v>4</v>
      </c>
      <c r="B905" s="38" t="s">
        <v>147</v>
      </c>
      <c r="C905" s="38" t="s">
        <v>68</v>
      </c>
      <c r="D905" s="39">
        <v>0</v>
      </c>
      <c r="E905" s="39">
        <v>8</v>
      </c>
      <c r="F905" s="18">
        <f t="shared" si="28"/>
        <v>123</v>
      </c>
      <c r="G905" s="18">
        <f t="shared" si="29"/>
        <v>115</v>
      </c>
    </row>
    <row r="906" spans="1:7" x14ac:dyDescent="0.35">
      <c r="A906" s="21">
        <v>5</v>
      </c>
      <c r="B906" s="38" t="s">
        <v>147</v>
      </c>
      <c r="C906" s="38" t="s">
        <v>68</v>
      </c>
      <c r="D906" s="39">
        <v>0</v>
      </c>
      <c r="E906" s="39">
        <v>7</v>
      </c>
      <c r="F906" s="18">
        <f t="shared" si="28"/>
        <v>115</v>
      </c>
      <c r="G906" s="18">
        <f t="shared" si="29"/>
        <v>108</v>
      </c>
    </row>
    <row r="907" spans="1:7" x14ac:dyDescent="0.35">
      <c r="A907" s="21">
        <v>6</v>
      </c>
      <c r="B907" s="38" t="s">
        <v>147</v>
      </c>
      <c r="C907" s="38" t="s">
        <v>68</v>
      </c>
      <c r="D907" s="39">
        <v>0</v>
      </c>
      <c r="E907" s="39">
        <v>5</v>
      </c>
      <c r="F907" s="18">
        <f t="shared" si="28"/>
        <v>108</v>
      </c>
      <c r="G907" s="18">
        <f t="shared" si="29"/>
        <v>103</v>
      </c>
    </row>
    <row r="908" spans="1:7" x14ac:dyDescent="0.35">
      <c r="A908" s="21">
        <v>7</v>
      </c>
      <c r="B908" s="38" t="s">
        <v>147</v>
      </c>
      <c r="C908" s="38" t="s">
        <v>68</v>
      </c>
      <c r="D908" s="39">
        <v>0</v>
      </c>
      <c r="E908" s="39">
        <v>6</v>
      </c>
      <c r="F908" s="18">
        <f t="shared" si="28"/>
        <v>103</v>
      </c>
      <c r="G908" s="18">
        <f t="shared" si="29"/>
        <v>97</v>
      </c>
    </row>
    <row r="909" spans="1:7" x14ac:dyDescent="0.35">
      <c r="A909" s="21">
        <v>8</v>
      </c>
      <c r="B909" s="38" t="s">
        <v>147</v>
      </c>
      <c r="C909" s="38" t="s">
        <v>68</v>
      </c>
      <c r="D909" s="39">
        <v>0</v>
      </c>
      <c r="E909" s="39">
        <v>5</v>
      </c>
      <c r="F909" s="18">
        <f t="shared" si="28"/>
        <v>97</v>
      </c>
      <c r="G909" s="18">
        <f t="shared" si="29"/>
        <v>92</v>
      </c>
    </row>
    <row r="910" spans="1:7" x14ac:dyDescent="0.35">
      <c r="A910" s="21">
        <v>9</v>
      </c>
      <c r="B910" s="38" t="s">
        <v>147</v>
      </c>
      <c r="C910" s="38" t="s">
        <v>68</v>
      </c>
      <c r="D910" s="39">
        <v>0</v>
      </c>
      <c r="E910" s="39">
        <v>3</v>
      </c>
      <c r="F910" s="18">
        <f t="shared" si="28"/>
        <v>92</v>
      </c>
      <c r="G910" s="18">
        <f t="shared" si="29"/>
        <v>89</v>
      </c>
    </row>
    <row r="911" spans="1:7" x14ac:dyDescent="0.35">
      <c r="A911" s="21">
        <v>10</v>
      </c>
      <c r="B911" s="38" t="s">
        <v>147</v>
      </c>
      <c r="C911" s="38" t="s">
        <v>68</v>
      </c>
      <c r="D911" s="39">
        <v>0</v>
      </c>
      <c r="E911" s="39">
        <v>3</v>
      </c>
      <c r="F911" s="18">
        <f t="shared" si="28"/>
        <v>89</v>
      </c>
      <c r="G911" s="18">
        <f t="shared" si="29"/>
        <v>86</v>
      </c>
    </row>
    <row r="912" spans="1:7" x14ac:dyDescent="0.35">
      <c r="A912" s="21">
        <v>11</v>
      </c>
      <c r="B912" s="38" t="s">
        <v>147</v>
      </c>
      <c r="C912" s="38" t="s">
        <v>68</v>
      </c>
      <c r="D912" s="39">
        <v>0</v>
      </c>
      <c r="E912" s="39">
        <v>4</v>
      </c>
      <c r="F912" s="18">
        <f t="shared" si="28"/>
        <v>86</v>
      </c>
      <c r="G912" s="18">
        <f t="shared" si="29"/>
        <v>82</v>
      </c>
    </row>
    <row r="913" spans="1:7" x14ac:dyDescent="0.35">
      <c r="A913" s="21">
        <v>12</v>
      </c>
      <c r="B913" s="38" t="s">
        <v>147</v>
      </c>
      <c r="C913" s="38" t="s">
        <v>68</v>
      </c>
      <c r="D913" s="39">
        <v>0</v>
      </c>
      <c r="E913" s="39">
        <v>2</v>
      </c>
      <c r="F913" s="18">
        <f t="shared" si="28"/>
        <v>82</v>
      </c>
      <c r="G913" s="18">
        <f t="shared" si="29"/>
        <v>80</v>
      </c>
    </row>
    <row r="914" spans="1:7" x14ac:dyDescent="0.35">
      <c r="A914" s="21">
        <v>1</v>
      </c>
      <c r="B914" s="38" t="s">
        <v>150</v>
      </c>
      <c r="C914" s="38" t="s">
        <v>62</v>
      </c>
      <c r="D914" s="39">
        <v>167</v>
      </c>
      <c r="E914" s="39">
        <v>7</v>
      </c>
      <c r="F914" s="18">
        <f t="shared" si="28"/>
        <v>0</v>
      </c>
      <c r="G914" s="18">
        <f t="shared" si="29"/>
        <v>160</v>
      </c>
    </row>
    <row r="915" spans="1:7" x14ac:dyDescent="0.35">
      <c r="A915" s="21">
        <v>2</v>
      </c>
      <c r="B915" s="38" t="s">
        <v>150</v>
      </c>
      <c r="C915" s="38" t="s">
        <v>62</v>
      </c>
      <c r="D915" s="39">
        <v>0</v>
      </c>
      <c r="E915" s="39">
        <v>7</v>
      </c>
      <c r="F915" s="18">
        <f t="shared" si="28"/>
        <v>160</v>
      </c>
      <c r="G915" s="18">
        <f t="shared" si="29"/>
        <v>153</v>
      </c>
    </row>
    <row r="916" spans="1:7" x14ac:dyDescent="0.35">
      <c r="A916" s="21">
        <v>3</v>
      </c>
      <c r="B916" s="38" t="s">
        <v>150</v>
      </c>
      <c r="C916" s="38" t="s">
        <v>62</v>
      </c>
      <c r="D916" s="39">
        <v>0</v>
      </c>
      <c r="E916" s="39">
        <v>11</v>
      </c>
      <c r="F916" s="18">
        <f t="shared" si="28"/>
        <v>153</v>
      </c>
      <c r="G916" s="18">
        <f t="shared" si="29"/>
        <v>142</v>
      </c>
    </row>
    <row r="917" spans="1:7" x14ac:dyDescent="0.35">
      <c r="A917" s="21">
        <v>4</v>
      </c>
      <c r="B917" s="38" t="s">
        <v>150</v>
      </c>
      <c r="C917" s="38" t="s">
        <v>62</v>
      </c>
      <c r="D917" s="39">
        <v>0</v>
      </c>
      <c r="E917" s="39">
        <v>8</v>
      </c>
      <c r="F917" s="18">
        <f t="shared" si="28"/>
        <v>142</v>
      </c>
      <c r="G917" s="18">
        <f t="shared" si="29"/>
        <v>134</v>
      </c>
    </row>
    <row r="918" spans="1:7" x14ac:dyDescent="0.35">
      <c r="A918" s="21">
        <v>5</v>
      </c>
      <c r="B918" s="38" t="s">
        <v>150</v>
      </c>
      <c r="C918" s="38" t="s">
        <v>62</v>
      </c>
      <c r="D918" s="39">
        <v>0</v>
      </c>
      <c r="E918" s="39">
        <v>5</v>
      </c>
      <c r="F918" s="18">
        <f t="shared" si="28"/>
        <v>134</v>
      </c>
      <c r="G918" s="18">
        <f t="shared" si="29"/>
        <v>129</v>
      </c>
    </row>
    <row r="919" spans="1:7" x14ac:dyDescent="0.35">
      <c r="A919" s="21">
        <v>6</v>
      </c>
      <c r="B919" s="38" t="s">
        <v>150</v>
      </c>
      <c r="C919" s="38" t="s">
        <v>62</v>
      </c>
      <c r="D919" s="39">
        <v>0</v>
      </c>
      <c r="E919" s="39">
        <v>7</v>
      </c>
      <c r="F919" s="18">
        <f t="shared" si="28"/>
        <v>129</v>
      </c>
      <c r="G919" s="18">
        <f t="shared" si="29"/>
        <v>122</v>
      </c>
    </row>
    <row r="920" spans="1:7" x14ac:dyDescent="0.35">
      <c r="A920" s="21">
        <v>7</v>
      </c>
      <c r="B920" s="38" t="s">
        <v>150</v>
      </c>
      <c r="C920" s="38" t="s">
        <v>62</v>
      </c>
      <c r="D920" s="39">
        <v>0</v>
      </c>
      <c r="E920" s="39">
        <v>7</v>
      </c>
      <c r="F920" s="18">
        <f t="shared" si="28"/>
        <v>122</v>
      </c>
      <c r="G920" s="18">
        <f t="shared" si="29"/>
        <v>115</v>
      </c>
    </row>
    <row r="921" spans="1:7" x14ac:dyDescent="0.35">
      <c r="A921" s="21">
        <v>8</v>
      </c>
      <c r="B921" s="38" t="s">
        <v>150</v>
      </c>
      <c r="C921" s="38" t="s">
        <v>62</v>
      </c>
      <c r="D921" s="39">
        <v>0</v>
      </c>
      <c r="E921" s="39">
        <v>5</v>
      </c>
      <c r="F921" s="18">
        <f t="shared" si="28"/>
        <v>115</v>
      </c>
      <c r="G921" s="18">
        <f t="shared" si="29"/>
        <v>110</v>
      </c>
    </row>
    <row r="922" spans="1:7" x14ac:dyDescent="0.35">
      <c r="A922" s="21">
        <v>9</v>
      </c>
      <c r="B922" s="38" t="s">
        <v>150</v>
      </c>
      <c r="C922" s="38" t="s">
        <v>62</v>
      </c>
      <c r="D922" s="39">
        <v>0</v>
      </c>
      <c r="E922" s="39">
        <v>5</v>
      </c>
      <c r="F922" s="18">
        <f t="shared" si="28"/>
        <v>110</v>
      </c>
      <c r="G922" s="18">
        <f t="shared" si="29"/>
        <v>105</v>
      </c>
    </row>
    <row r="923" spans="1:7" x14ac:dyDescent="0.35">
      <c r="A923" s="21">
        <v>10</v>
      </c>
      <c r="B923" s="38" t="s">
        <v>150</v>
      </c>
      <c r="C923" s="38" t="s">
        <v>62</v>
      </c>
      <c r="D923" s="39">
        <v>0</v>
      </c>
      <c r="E923" s="39">
        <v>3</v>
      </c>
      <c r="F923" s="18">
        <f t="shared" si="28"/>
        <v>105</v>
      </c>
      <c r="G923" s="18">
        <f t="shared" si="29"/>
        <v>102</v>
      </c>
    </row>
    <row r="924" spans="1:7" x14ac:dyDescent="0.35">
      <c r="A924" s="21">
        <v>11</v>
      </c>
      <c r="B924" s="38" t="s">
        <v>150</v>
      </c>
      <c r="C924" s="38" t="s">
        <v>62</v>
      </c>
      <c r="D924" s="39">
        <v>0</v>
      </c>
      <c r="E924" s="39">
        <v>2</v>
      </c>
      <c r="F924" s="18">
        <f t="shared" si="28"/>
        <v>102</v>
      </c>
      <c r="G924" s="18">
        <f t="shared" si="29"/>
        <v>100</v>
      </c>
    </row>
    <row r="925" spans="1:7" x14ac:dyDescent="0.35">
      <c r="A925" s="21">
        <v>12</v>
      </c>
      <c r="B925" s="38" t="s">
        <v>150</v>
      </c>
      <c r="C925" s="38" t="s">
        <v>62</v>
      </c>
      <c r="D925" s="39">
        <v>0</v>
      </c>
      <c r="E925" s="39">
        <v>3</v>
      </c>
      <c r="F925" s="18">
        <f t="shared" si="28"/>
        <v>100</v>
      </c>
      <c r="G925" s="18">
        <f t="shared" si="29"/>
        <v>97</v>
      </c>
    </row>
    <row r="926" spans="1:7" x14ac:dyDescent="0.35">
      <c r="A926" s="21">
        <v>1</v>
      </c>
      <c r="B926" s="38" t="s">
        <v>150</v>
      </c>
      <c r="C926" s="38" t="s">
        <v>64</v>
      </c>
      <c r="D926" s="39">
        <v>196</v>
      </c>
      <c r="E926" s="39">
        <v>15</v>
      </c>
      <c r="F926" s="18">
        <f t="shared" si="28"/>
        <v>0</v>
      </c>
      <c r="G926" s="18">
        <f t="shared" si="29"/>
        <v>181</v>
      </c>
    </row>
    <row r="927" spans="1:7" x14ac:dyDescent="0.35">
      <c r="A927" s="21">
        <v>2</v>
      </c>
      <c r="B927" s="38" t="s">
        <v>150</v>
      </c>
      <c r="C927" s="38" t="s">
        <v>64</v>
      </c>
      <c r="D927" s="39">
        <v>0</v>
      </c>
      <c r="E927" s="39">
        <v>15</v>
      </c>
      <c r="F927" s="18">
        <f t="shared" si="28"/>
        <v>181</v>
      </c>
      <c r="G927" s="18">
        <f t="shared" si="29"/>
        <v>166</v>
      </c>
    </row>
    <row r="928" spans="1:7" x14ac:dyDescent="0.35">
      <c r="A928" s="21">
        <v>3</v>
      </c>
      <c r="B928" s="38" t="s">
        <v>150</v>
      </c>
      <c r="C928" s="38" t="s">
        <v>64</v>
      </c>
      <c r="D928" s="39">
        <v>0</v>
      </c>
      <c r="E928" s="39">
        <v>8</v>
      </c>
      <c r="F928" s="18">
        <f t="shared" si="28"/>
        <v>166</v>
      </c>
      <c r="G928" s="18">
        <f t="shared" si="29"/>
        <v>158</v>
      </c>
    </row>
    <row r="929" spans="1:7" x14ac:dyDescent="0.35">
      <c r="A929" s="21">
        <v>4</v>
      </c>
      <c r="B929" s="38" t="s">
        <v>150</v>
      </c>
      <c r="C929" s="38" t="s">
        <v>64</v>
      </c>
      <c r="D929" s="39">
        <v>0</v>
      </c>
      <c r="E929" s="39">
        <v>11</v>
      </c>
      <c r="F929" s="18">
        <f t="shared" si="28"/>
        <v>158</v>
      </c>
      <c r="G929" s="18">
        <f t="shared" si="29"/>
        <v>147</v>
      </c>
    </row>
    <row r="930" spans="1:7" x14ac:dyDescent="0.35">
      <c r="A930" s="21">
        <v>5</v>
      </c>
      <c r="B930" s="38" t="s">
        <v>150</v>
      </c>
      <c r="C930" s="38" t="s">
        <v>64</v>
      </c>
      <c r="D930" s="39">
        <v>0</v>
      </c>
      <c r="E930" s="39">
        <v>7</v>
      </c>
      <c r="F930" s="18">
        <f t="shared" si="28"/>
        <v>147</v>
      </c>
      <c r="G930" s="18">
        <f t="shared" si="29"/>
        <v>140</v>
      </c>
    </row>
    <row r="931" spans="1:7" x14ac:dyDescent="0.35">
      <c r="A931" s="21">
        <v>6</v>
      </c>
      <c r="B931" s="38" t="s">
        <v>150</v>
      </c>
      <c r="C931" s="38" t="s">
        <v>64</v>
      </c>
      <c r="D931" s="39">
        <v>0</v>
      </c>
      <c r="E931" s="39">
        <v>10</v>
      </c>
      <c r="F931" s="18">
        <f t="shared" si="28"/>
        <v>140</v>
      </c>
      <c r="G931" s="18">
        <f t="shared" si="29"/>
        <v>130</v>
      </c>
    </row>
    <row r="932" spans="1:7" x14ac:dyDescent="0.35">
      <c r="A932" s="21">
        <v>7</v>
      </c>
      <c r="B932" s="38" t="s">
        <v>150</v>
      </c>
      <c r="C932" s="38" t="s">
        <v>64</v>
      </c>
      <c r="D932" s="39">
        <v>0</v>
      </c>
      <c r="E932" s="39">
        <v>6</v>
      </c>
      <c r="F932" s="18">
        <f t="shared" si="28"/>
        <v>130</v>
      </c>
      <c r="G932" s="18">
        <f t="shared" si="29"/>
        <v>124</v>
      </c>
    </row>
    <row r="933" spans="1:7" x14ac:dyDescent="0.35">
      <c r="A933" s="21">
        <v>8</v>
      </c>
      <c r="B933" s="38" t="s">
        <v>150</v>
      </c>
      <c r="C933" s="38" t="s">
        <v>64</v>
      </c>
      <c r="D933" s="39">
        <v>0</v>
      </c>
      <c r="E933" s="39">
        <v>7</v>
      </c>
      <c r="F933" s="18">
        <f t="shared" si="28"/>
        <v>124</v>
      </c>
      <c r="G933" s="18">
        <f t="shared" si="29"/>
        <v>117</v>
      </c>
    </row>
    <row r="934" spans="1:7" x14ac:dyDescent="0.35">
      <c r="A934" s="21">
        <v>9</v>
      </c>
      <c r="B934" s="38" t="s">
        <v>150</v>
      </c>
      <c r="C934" s="38" t="s">
        <v>64</v>
      </c>
      <c r="D934" s="39">
        <v>0</v>
      </c>
      <c r="E934" s="39">
        <v>6</v>
      </c>
      <c r="F934" s="18">
        <f t="shared" si="28"/>
        <v>117</v>
      </c>
      <c r="G934" s="18">
        <f t="shared" si="29"/>
        <v>111</v>
      </c>
    </row>
    <row r="935" spans="1:7" x14ac:dyDescent="0.35">
      <c r="A935" s="21">
        <v>10</v>
      </c>
      <c r="B935" s="38" t="s">
        <v>150</v>
      </c>
      <c r="C935" s="38" t="s">
        <v>64</v>
      </c>
      <c r="D935" s="39">
        <v>0</v>
      </c>
      <c r="E935" s="39">
        <v>5</v>
      </c>
      <c r="F935" s="18">
        <f t="shared" si="28"/>
        <v>111</v>
      </c>
      <c r="G935" s="18">
        <f t="shared" si="29"/>
        <v>106</v>
      </c>
    </row>
    <row r="936" spans="1:7" x14ac:dyDescent="0.35">
      <c r="A936" s="21">
        <v>11</v>
      </c>
      <c r="B936" s="38" t="s">
        <v>150</v>
      </c>
      <c r="C936" s="38" t="s">
        <v>64</v>
      </c>
      <c r="D936" s="39">
        <v>0</v>
      </c>
      <c r="E936" s="39">
        <v>5</v>
      </c>
      <c r="F936" s="18">
        <f t="shared" si="28"/>
        <v>106</v>
      </c>
      <c r="G936" s="18">
        <f t="shared" si="29"/>
        <v>101</v>
      </c>
    </row>
    <row r="937" spans="1:7" x14ac:dyDescent="0.35">
      <c r="A937" s="21">
        <v>12</v>
      </c>
      <c r="B937" s="38" t="s">
        <v>150</v>
      </c>
      <c r="C937" s="38" t="s">
        <v>64</v>
      </c>
      <c r="D937" s="39">
        <v>0</v>
      </c>
      <c r="E937" s="39">
        <v>5</v>
      </c>
      <c r="F937" s="18">
        <f t="shared" si="28"/>
        <v>101</v>
      </c>
      <c r="G937" s="18">
        <f t="shared" si="29"/>
        <v>96</v>
      </c>
    </row>
    <row r="938" spans="1:7" x14ac:dyDescent="0.35">
      <c r="A938" s="21">
        <v>1</v>
      </c>
      <c r="B938" s="38" t="s">
        <v>150</v>
      </c>
      <c r="C938" s="38" t="s">
        <v>66</v>
      </c>
      <c r="D938" s="39">
        <v>131</v>
      </c>
      <c r="E938" s="39">
        <v>10</v>
      </c>
      <c r="F938" s="18">
        <f t="shared" si="28"/>
        <v>0</v>
      </c>
      <c r="G938" s="18">
        <f t="shared" si="29"/>
        <v>121</v>
      </c>
    </row>
    <row r="939" spans="1:7" x14ac:dyDescent="0.35">
      <c r="A939" s="21">
        <v>2</v>
      </c>
      <c r="B939" s="38" t="s">
        <v>150</v>
      </c>
      <c r="C939" s="38" t="s">
        <v>66</v>
      </c>
      <c r="D939" s="39">
        <v>0</v>
      </c>
      <c r="E939" s="39">
        <v>10</v>
      </c>
      <c r="F939" s="18">
        <f t="shared" si="28"/>
        <v>121</v>
      </c>
      <c r="G939" s="18">
        <f t="shared" si="29"/>
        <v>111</v>
      </c>
    </row>
    <row r="940" spans="1:7" x14ac:dyDescent="0.35">
      <c r="A940" s="21">
        <v>3</v>
      </c>
      <c r="B940" s="38" t="s">
        <v>150</v>
      </c>
      <c r="C940" s="38" t="s">
        <v>66</v>
      </c>
      <c r="D940" s="39">
        <v>0</v>
      </c>
      <c r="E940" s="39">
        <v>7</v>
      </c>
      <c r="F940" s="18">
        <f t="shared" si="28"/>
        <v>111</v>
      </c>
      <c r="G940" s="18">
        <f t="shared" si="29"/>
        <v>104</v>
      </c>
    </row>
    <row r="941" spans="1:7" x14ac:dyDescent="0.35">
      <c r="A941" s="21">
        <v>4</v>
      </c>
      <c r="B941" s="38" t="s">
        <v>150</v>
      </c>
      <c r="C941" s="38" t="s">
        <v>66</v>
      </c>
      <c r="D941" s="39">
        <v>0</v>
      </c>
      <c r="E941" s="39">
        <v>6</v>
      </c>
      <c r="F941" s="18">
        <f t="shared" si="28"/>
        <v>104</v>
      </c>
      <c r="G941" s="18">
        <f t="shared" si="29"/>
        <v>98</v>
      </c>
    </row>
    <row r="942" spans="1:7" x14ac:dyDescent="0.35">
      <c r="A942" s="21">
        <v>5</v>
      </c>
      <c r="B942" s="38" t="s">
        <v>150</v>
      </c>
      <c r="C942" s="38" t="s">
        <v>66</v>
      </c>
      <c r="D942" s="39">
        <v>0</v>
      </c>
      <c r="E942" s="39">
        <v>4</v>
      </c>
      <c r="F942" s="18">
        <f t="shared" si="28"/>
        <v>98</v>
      </c>
      <c r="G942" s="18">
        <f t="shared" si="29"/>
        <v>94</v>
      </c>
    </row>
    <row r="943" spans="1:7" x14ac:dyDescent="0.35">
      <c r="A943" s="21">
        <v>6</v>
      </c>
      <c r="B943" s="38" t="s">
        <v>150</v>
      </c>
      <c r="C943" s="38" t="s">
        <v>66</v>
      </c>
      <c r="D943" s="39">
        <v>0</v>
      </c>
      <c r="E943" s="39">
        <v>6</v>
      </c>
      <c r="F943" s="18">
        <f t="shared" si="28"/>
        <v>94</v>
      </c>
      <c r="G943" s="18">
        <f t="shared" si="29"/>
        <v>88</v>
      </c>
    </row>
    <row r="944" spans="1:7" x14ac:dyDescent="0.35">
      <c r="A944" s="21">
        <v>7</v>
      </c>
      <c r="B944" s="38" t="s">
        <v>150</v>
      </c>
      <c r="C944" s="38" t="s">
        <v>66</v>
      </c>
      <c r="D944" s="39">
        <v>0</v>
      </c>
      <c r="E944" s="39">
        <v>5</v>
      </c>
      <c r="F944" s="18">
        <f t="shared" si="28"/>
        <v>88</v>
      </c>
      <c r="G944" s="18">
        <f t="shared" si="29"/>
        <v>83</v>
      </c>
    </row>
    <row r="945" spans="1:7" x14ac:dyDescent="0.35">
      <c r="A945" s="21">
        <v>8</v>
      </c>
      <c r="B945" s="38" t="s">
        <v>150</v>
      </c>
      <c r="C945" s="38" t="s">
        <v>66</v>
      </c>
      <c r="D945" s="39">
        <v>0</v>
      </c>
      <c r="E945" s="39">
        <v>4</v>
      </c>
      <c r="F945" s="18">
        <f t="shared" si="28"/>
        <v>83</v>
      </c>
      <c r="G945" s="18">
        <f t="shared" si="29"/>
        <v>79</v>
      </c>
    </row>
    <row r="946" spans="1:7" x14ac:dyDescent="0.35">
      <c r="A946" s="21">
        <v>9</v>
      </c>
      <c r="B946" s="38" t="s">
        <v>150</v>
      </c>
      <c r="C946" s="38" t="s">
        <v>66</v>
      </c>
      <c r="D946" s="39">
        <v>0</v>
      </c>
      <c r="E946" s="39">
        <v>3</v>
      </c>
      <c r="F946" s="18">
        <f t="shared" si="28"/>
        <v>79</v>
      </c>
      <c r="G946" s="18">
        <f t="shared" si="29"/>
        <v>76</v>
      </c>
    </row>
    <row r="947" spans="1:7" x14ac:dyDescent="0.35">
      <c r="A947" s="21">
        <v>10</v>
      </c>
      <c r="B947" s="38" t="s">
        <v>150</v>
      </c>
      <c r="C947" s="38" t="s">
        <v>66</v>
      </c>
      <c r="D947" s="39">
        <v>0</v>
      </c>
      <c r="E947" s="39">
        <v>4</v>
      </c>
      <c r="F947" s="18">
        <f t="shared" si="28"/>
        <v>76</v>
      </c>
      <c r="G947" s="18">
        <f t="shared" si="29"/>
        <v>72</v>
      </c>
    </row>
    <row r="948" spans="1:7" x14ac:dyDescent="0.35">
      <c r="A948" s="21">
        <v>11</v>
      </c>
      <c r="B948" s="38" t="s">
        <v>150</v>
      </c>
      <c r="C948" s="38" t="s">
        <v>66</v>
      </c>
      <c r="D948" s="39">
        <v>0</v>
      </c>
      <c r="E948" s="39">
        <v>3</v>
      </c>
      <c r="F948" s="18">
        <f t="shared" si="28"/>
        <v>72</v>
      </c>
      <c r="G948" s="18">
        <f t="shared" si="29"/>
        <v>69</v>
      </c>
    </row>
    <row r="949" spans="1:7" x14ac:dyDescent="0.35">
      <c r="A949" s="21">
        <v>12</v>
      </c>
      <c r="B949" s="38" t="s">
        <v>150</v>
      </c>
      <c r="C949" s="38" t="s">
        <v>66</v>
      </c>
      <c r="D949" s="39">
        <v>0</v>
      </c>
      <c r="E949" s="39">
        <v>3</v>
      </c>
      <c r="F949" s="18">
        <f t="shared" si="28"/>
        <v>69</v>
      </c>
      <c r="G949" s="18">
        <f t="shared" si="29"/>
        <v>66</v>
      </c>
    </row>
    <row r="950" spans="1:7" x14ac:dyDescent="0.35">
      <c r="A950" s="21">
        <v>1</v>
      </c>
      <c r="B950" s="38" t="s">
        <v>150</v>
      </c>
      <c r="C950" s="38" t="s">
        <v>68</v>
      </c>
      <c r="D950" s="39">
        <v>162</v>
      </c>
      <c r="E950" s="39">
        <v>15</v>
      </c>
      <c r="F950" s="18">
        <f t="shared" si="28"/>
        <v>0</v>
      </c>
      <c r="G950" s="18">
        <f t="shared" si="29"/>
        <v>147</v>
      </c>
    </row>
    <row r="951" spans="1:7" x14ac:dyDescent="0.35">
      <c r="A951" s="21">
        <v>2</v>
      </c>
      <c r="B951" s="38" t="s">
        <v>150</v>
      </c>
      <c r="C951" s="38" t="s">
        <v>68</v>
      </c>
      <c r="D951" s="39">
        <v>0</v>
      </c>
      <c r="E951" s="39">
        <v>9</v>
      </c>
      <c r="F951" s="18">
        <f t="shared" si="28"/>
        <v>147</v>
      </c>
      <c r="G951" s="18">
        <f t="shared" si="29"/>
        <v>138</v>
      </c>
    </row>
    <row r="952" spans="1:7" x14ac:dyDescent="0.35">
      <c r="A952" s="21">
        <v>3</v>
      </c>
      <c r="B952" s="38" t="s">
        <v>150</v>
      </c>
      <c r="C952" s="38" t="s">
        <v>68</v>
      </c>
      <c r="D952" s="39">
        <v>0</v>
      </c>
      <c r="E952" s="39">
        <v>8</v>
      </c>
      <c r="F952" s="18">
        <f t="shared" si="28"/>
        <v>138</v>
      </c>
      <c r="G952" s="18">
        <f t="shared" si="29"/>
        <v>130</v>
      </c>
    </row>
    <row r="953" spans="1:7" x14ac:dyDescent="0.35">
      <c r="A953" s="21">
        <v>4</v>
      </c>
      <c r="B953" s="38" t="s">
        <v>150</v>
      </c>
      <c r="C953" s="38" t="s">
        <v>68</v>
      </c>
      <c r="D953" s="39">
        <v>0</v>
      </c>
      <c r="E953" s="39">
        <v>10</v>
      </c>
      <c r="F953" s="18">
        <f t="shared" si="28"/>
        <v>130</v>
      </c>
      <c r="G953" s="18">
        <f t="shared" si="29"/>
        <v>120</v>
      </c>
    </row>
    <row r="954" spans="1:7" x14ac:dyDescent="0.35">
      <c r="A954" s="21">
        <v>5</v>
      </c>
      <c r="B954" s="38" t="s">
        <v>150</v>
      </c>
      <c r="C954" s="38" t="s">
        <v>68</v>
      </c>
      <c r="D954" s="39">
        <v>0</v>
      </c>
      <c r="E954" s="39">
        <v>9</v>
      </c>
      <c r="F954" s="18">
        <f t="shared" si="28"/>
        <v>120</v>
      </c>
      <c r="G954" s="18">
        <f t="shared" si="29"/>
        <v>111</v>
      </c>
    </row>
    <row r="955" spans="1:7" x14ac:dyDescent="0.35">
      <c r="A955" s="21">
        <v>6</v>
      </c>
      <c r="B955" s="38" t="s">
        <v>150</v>
      </c>
      <c r="C955" s="38" t="s">
        <v>68</v>
      </c>
      <c r="D955" s="39">
        <v>0</v>
      </c>
      <c r="E955" s="39">
        <v>6</v>
      </c>
      <c r="F955" s="18">
        <f t="shared" si="28"/>
        <v>111</v>
      </c>
      <c r="G955" s="18">
        <f t="shared" si="29"/>
        <v>105</v>
      </c>
    </row>
    <row r="956" spans="1:7" x14ac:dyDescent="0.35">
      <c r="A956" s="21">
        <v>7</v>
      </c>
      <c r="B956" s="38" t="s">
        <v>150</v>
      </c>
      <c r="C956" s="38" t="s">
        <v>68</v>
      </c>
      <c r="D956" s="39">
        <v>0</v>
      </c>
      <c r="E956" s="39">
        <v>6</v>
      </c>
      <c r="F956" s="18">
        <f t="shared" si="28"/>
        <v>105</v>
      </c>
      <c r="G956" s="18">
        <f t="shared" si="29"/>
        <v>99</v>
      </c>
    </row>
    <row r="957" spans="1:7" x14ac:dyDescent="0.35">
      <c r="A957" s="21">
        <v>8</v>
      </c>
      <c r="B957" s="38" t="s">
        <v>150</v>
      </c>
      <c r="C957" s="38" t="s">
        <v>68</v>
      </c>
      <c r="D957" s="39">
        <v>0</v>
      </c>
      <c r="E957" s="39">
        <v>6</v>
      </c>
      <c r="F957" s="18">
        <f t="shared" si="28"/>
        <v>99</v>
      </c>
      <c r="G957" s="18">
        <f t="shared" si="29"/>
        <v>93</v>
      </c>
    </row>
    <row r="958" spans="1:7" x14ac:dyDescent="0.35">
      <c r="A958" s="21">
        <v>9</v>
      </c>
      <c r="B958" s="38" t="s">
        <v>150</v>
      </c>
      <c r="C958" s="38" t="s">
        <v>68</v>
      </c>
      <c r="D958" s="39">
        <v>0</v>
      </c>
      <c r="E958" s="39">
        <v>6</v>
      </c>
      <c r="F958" s="18">
        <f t="shared" si="28"/>
        <v>93</v>
      </c>
      <c r="G958" s="18">
        <f t="shared" si="29"/>
        <v>87</v>
      </c>
    </row>
    <row r="959" spans="1:7" x14ac:dyDescent="0.35">
      <c r="A959" s="21">
        <v>10</v>
      </c>
      <c r="B959" s="38" t="s">
        <v>150</v>
      </c>
      <c r="C959" s="38" t="s">
        <v>68</v>
      </c>
      <c r="D959" s="39">
        <v>0</v>
      </c>
      <c r="E959" s="39">
        <v>4</v>
      </c>
      <c r="F959" s="18">
        <f t="shared" si="28"/>
        <v>87</v>
      </c>
      <c r="G959" s="18">
        <f t="shared" si="29"/>
        <v>83</v>
      </c>
    </row>
    <row r="960" spans="1:7" x14ac:dyDescent="0.35">
      <c r="A960" s="21">
        <v>11</v>
      </c>
      <c r="B960" s="38" t="s">
        <v>150</v>
      </c>
      <c r="C960" s="38" t="s">
        <v>68</v>
      </c>
      <c r="D960" s="39">
        <v>0</v>
      </c>
      <c r="E960" s="39">
        <v>4</v>
      </c>
      <c r="F960" s="18">
        <f t="shared" si="28"/>
        <v>83</v>
      </c>
      <c r="G960" s="18">
        <f t="shared" si="29"/>
        <v>79</v>
      </c>
    </row>
    <row r="961" spans="1:7" x14ac:dyDescent="0.35">
      <c r="A961" s="21">
        <v>12</v>
      </c>
      <c r="B961" s="38" t="s">
        <v>150</v>
      </c>
      <c r="C961" s="38" t="s">
        <v>68</v>
      </c>
      <c r="D961" s="39">
        <v>0</v>
      </c>
      <c r="E961" s="39">
        <v>4</v>
      </c>
      <c r="F961" s="18">
        <f t="shared" si="28"/>
        <v>79</v>
      </c>
      <c r="G961" s="18">
        <f t="shared" si="29"/>
        <v>75</v>
      </c>
    </row>
    <row r="962" spans="1:7" x14ac:dyDescent="0.35">
      <c r="A962" s="21">
        <v>1</v>
      </c>
      <c r="B962" s="38" t="s">
        <v>152</v>
      </c>
      <c r="C962" s="38" t="s">
        <v>62</v>
      </c>
      <c r="D962" s="39">
        <v>149</v>
      </c>
      <c r="E962" s="39">
        <v>10</v>
      </c>
      <c r="F962" s="18">
        <f t="shared" ref="F962:F1025" si="30">IF(A962=1,0,G961)</f>
        <v>0</v>
      </c>
      <c r="G962" s="18">
        <f t="shared" ref="G962:G1025" si="31">F962+D962-E962</f>
        <v>139</v>
      </c>
    </row>
    <row r="963" spans="1:7" x14ac:dyDescent="0.35">
      <c r="A963" s="21">
        <v>2</v>
      </c>
      <c r="B963" s="38" t="s">
        <v>152</v>
      </c>
      <c r="C963" s="38" t="s">
        <v>62</v>
      </c>
      <c r="D963" s="39">
        <v>0</v>
      </c>
      <c r="E963" s="39">
        <v>7</v>
      </c>
      <c r="F963" s="18">
        <f t="shared" si="30"/>
        <v>139</v>
      </c>
      <c r="G963" s="18">
        <f t="shared" si="31"/>
        <v>132</v>
      </c>
    </row>
    <row r="964" spans="1:7" x14ac:dyDescent="0.35">
      <c r="A964" s="21">
        <v>3</v>
      </c>
      <c r="B964" s="38" t="s">
        <v>152</v>
      </c>
      <c r="C964" s="38" t="s">
        <v>62</v>
      </c>
      <c r="D964" s="39">
        <v>0</v>
      </c>
      <c r="E964" s="39">
        <v>10</v>
      </c>
      <c r="F964" s="18">
        <f t="shared" si="30"/>
        <v>132</v>
      </c>
      <c r="G964" s="18">
        <f t="shared" si="31"/>
        <v>122</v>
      </c>
    </row>
    <row r="965" spans="1:7" x14ac:dyDescent="0.35">
      <c r="A965" s="21">
        <v>4</v>
      </c>
      <c r="B965" s="38" t="s">
        <v>152</v>
      </c>
      <c r="C965" s="38" t="s">
        <v>62</v>
      </c>
      <c r="D965" s="39">
        <v>0</v>
      </c>
      <c r="E965" s="39">
        <v>8</v>
      </c>
      <c r="F965" s="18">
        <f t="shared" si="30"/>
        <v>122</v>
      </c>
      <c r="G965" s="18">
        <f t="shared" si="31"/>
        <v>114</v>
      </c>
    </row>
    <row r="966" spans="1:7" x14ac:dyDescent="0.35">
      <c r="A966" s="21">
        <v>5</v>
      </c>
      <c r="B966" s="38" t="s">
        <v>152</v>
      </c>
      <c r="C966" s="38" t="s">
        <v>62</v>
      </c>
      <c r="D966" s="39">
        <v>0</v>
      </c>
      <c r="E966" s="39">
        <v>7</v>
      </c>
      <c r="F966" s="18">
        <f t="shared" si="30"/>
        <v>114</v>
      </c>
      <c r="G966" s="18">
        <f t="shared" si="31"/>
        <v>107</v>
      </c>
    </row>
    <row r="967" spans="1:7" x14ac:dyDescent="0.35">
      <c r="A967" s="21">
        <v>6</v>
      </c>
      <c r="B967" s="38" t="s">
        <v>152</v>
      </c>
      <c r="C967" s="38" t="s">
        <v>62</v>
      </c>
      <c r="D967" s="39">
        <v>0</v>
      </c>
      <c r="E967" s="39">
        <v>4</v>
      </c>
      <c r="F967" s="18">
        <f t="shared" si="30"/>
        <v>107</v>
      </c>
      <c r="G967" s="18">
        <f t="shared" si="31"/>
        <v>103</v>
      </c>
    </row>
    <row r="968" spans="1:7" x14ac:dyDescent="0.35">
      <c r="A968" s="21">
        <v>7</v>
      </c>
      <c r="B968" s="38" t="s">
        <v>152</v>
      </c>
      <c r="C968" s="38" t="s">
        <v>62</v>
      </c>
      <c r="D968" s="39">
        <v>0</v>
      </c>
      <c r="E968" s="39">
        <v>4</v>
      </c>
      <c r="F968" s="18">
        <f t="shared" si="30"/>
        <v>103</v>
      </c>
      <c r="G968" s="18">
        <f t="shared" si="31"/>
        <v>99</v>
      </c>
    </row>
    <row r="969" spans="1:7" x14ac:dyDescent="0.35">
      <c r="A969" s="21">
        <v>8</v>
      </c>
      <c r="B969" s="38" t="s">
        <v>152</v>
      </c>
      <c r="C969" s="38" t="s">
        <v>62</v>
      </c>
      <c r="D969" s="39">
        <v>0</v>
      </c>
      <c r="E969" s="39">
        <v>5</v>
      </c>
      <c r="F969" s="18">
        <f t="shared" si="30"/>
        <v>99</v>
      </c>
      <c r="G969" s="18">
        <f t="shared" si="31"/>
        <v>94</v>
      </c>
    </row>
    <row r="970" spans="1:7" x14ac:dyDescent="0.35">
      <c r="A970" s="21">
        <v>9</v>
      </c>
      <c r="B970" s="38" t="s">
        <v>152</v>
      </c>
      <c r="C970" s="38" t="s">
        <v>62</v>
      </c>
      <c r="D970" s="39">
        <v>0</v>
      </c>
      <c r="E970" s="39">
        <v>3</v>
      </c>
      <c r="F970" s="18">
        <f t="shared" si="30"/>
        <v>94</v>
      </c>
      <c r="G970" s="18">
        <f t="shared" si="31"/>
        <v>91</v>
      </c>
    </row>
    <row r="971" spans="1:7" x14ac:dyDescent="0.35">
      <c r="A971" s="21">
        <v>10</v>
      </c>
      <c r="B971" s="38" t="s">
        <v>152</v>
      </c>
      <c r="C971" s="38" t="s">
        <v>62</v>
      </c>
      <c r="D971" s="39">
        <v>0</v>
      </c>
      <c r="E971" s="39">
        <v>5</v>
      </c>
      <c r="F971" s="18">
        <f t="shared" si="30"/>
        <v>91</v>
      </c>
      <c r="G971" s="18">
        <f t="shared" si="31"/>
        <v>86</v>
      </c>
    </row>
    <row r="972" spans="1:7" x14ac:dyDescent="0.35">
      <c r="A972" s="21">
        <v>11</v>
      </c>
      <c r="B972" s="38" t="s">
        <v>152</v>
      </c>
      <c r="C972" s="38" t="s">
        <v>62</v>
      </c>
      <c r="D972" s="39">
        <v>0</v>
      </c>
      <c r="E972" s="39">
        <v>3</v>
      </c>
      <c r="F972" s="18">
        <f t="shared" si="30"/>
        <v>86</v>
      </c>
      <c r="G972" s="18">
        <f t="shared" si="31"/>
        <v>83</v>
      </c>
    </row>
    <row r="973" spans="1:7" x14ac:dyDescent="0.35">
      <c r="A973" s="21">
        <v>12</v>
      </c>
      <c r="B973" s="38" t="s">
        <v>152</v>
      </c>
      <c r="C973" s="38" t="s">
        <v>62</v>
      </c>
      <c r="D973" s="39">
        <v>0</v>
      </c>
      <c r="E973" s="39">
        <v>3</v>
      </c>
      <c r="F973" s="18">
        <f t="shared" si="30"/>
        <v>83</v>
      </c>
      <c r="G973" s="18">
        <f t="shared" si="31"/>
        <v>80</v>
      </c>
    </row>
    <row r="974" spans="1:7" x14ac:dyDescent="0.35">
      <c r="A974" s="21">
        <v>1</v>
      </c>
      <c r="B974" s="38" t="s">
        <v>152</v>
      </c>
      <c r="C974" s="38" t="s">
        <v>64</v>
      </c>
      <c r="D974" s="39">
        <v>204</v>
      </c>
      <c r="E974" s="39">
        <v>12</v>
      </c>
      <c r="F974" s="18">
        <f t="shared" si="30"/>
        <v>0</v>
      </c>
      <c r="G974" s="18">
        <f t="shared" si="31"/>
        <v>192</v>
      </c>
    </row>
    <row r="975" spans="1:7" x14ac:dyDescent="0.35">
      <c r="A975" s="21">
        <v>2</v>
      </c>
      <c r="B975" s="38" t="s">
        <v>152</v>
      </c>
      <c r="C975" s="38" t="s">
        <v>64</v>
      </c>
      <c r="D975" s="39">
        <v>0</v>
      </c>
      <c r="E975" s="39">
        <v>10</v>
      </c>
      <c r="F975" s="18">
        <f t="shared" si="30"/>
        <v>192</v>
      </c>
      <c r="G975" s="18">
        <f t="shared" si="31"/>
        <v>182</v>
      </c>
    </row>
    <row r="976" spans="1:7" x14ac:dyDescent="0.35">
      <c r="A976" s="21">
        <v>3</v>
      </c>
      <c r="B976" s="38" t="s">
        <v>152</v>
      </c>
      <c r="C976" s="38" t="s">
        <v>64</v>
      </c>
      <c r="D976" s="39">
        <v>0</v>
      </c>
      <c r="E976" s="39">
        <v>11</v>
      </c>
      <c r="F976" s="18">
        <f t="shared" si="30"/>
        <v>182</v>
      </c>
      <c r="G976" s="18">
        <f t="shared" si="31"/>
        <v>171</v>
      </c>
    </row>
    <row r="977" spans="1:7" x14ac:dyDescent="0.35">
      <c r="A977" s="21">
        <v>4</v>
      </c>
      <c r="B977" s="38" t="s">
        <v>152</v>
      </c>
      <c r="C977" s="38" t="s">
        <v>64</v>
      </c>
      <c r="D977" s="39">
        <v>0</v>
      </c>
      <c r="E977" s="39">
        <v>10</v>
      </c>
      <c r="F977" s="18">
        <f t="shared" si="30"/>
        <v>171</v>
      </c>
      <c r="G977" s="18">
        <f t="shared" si="31"/>
        <v>161</v>
      </c>
    </row>
    <row r="978" spans="1:7" x14ac:dyDescent="0.35">
      <c r="A978" s="21">
        <v>5</v>
      </c>
      <c r="B978" s="38" t="s">
        <v>152</v>
      </c>
      <c r="C978" s="38" t="s">
        <v>64</v>
      </c>
      <c r="D978" s="39">
        <v>0</v>
      </c>
      <c r="E978" s="39">
        <v>8</v>
      </c>
      <c r="F978" s="18">
        <f t="shared" si="30"/>
        <v>161</v>
      </c>
      <c r="G978" s="18">
        <f t="shared" si="31"/>
        <v>153</v>
      </c>
    </row>
    <row r="979" spans="1:7" x14ac:dyDescent="0.35">
      <c r="A979" s="21">
        <v>6</v>
      </c>
      <c r="B979" s="38" t="s">
        <v>152</v>
      </c>
      <c r="C979" s="38" t="s">
        <v>64</v>
      </c>
      <c r="D979" s="39">
        <v>0</v>
      </c>
      <c r="E979" s="39">
        <v>8</v>
      </c>
      <c r="F979" s="18">
        <f t="shared" si="30"/>
        <v>153</v>
      </c>
      <c r="G979" s="18">
        <f t="shared" si="31"/>
        <v>145</v>
      </c>
    </row>
    <row r="980" spans="1:7" x14ac:dyDescent="0.35">
      <c r="A980" s="21">
        <v>7</v>
      </c>
      <c r="B980" s="38" t="s">
        <v>152</v>
      </c>
      <c r="C980" s="38" t="s">
        <v>64</v>
      </c>
      <c r="D980" s="39">
        <v>0</v>
      </c>
      <c r="E980" s="39">
        <v>8</v>
      </c>
      <c r="F980" s="18">
        <f t="shared" si="30"/>
        <v>145</v>
      </c>
      <c r="G980" s="18">
        <f t="shared" si="31"/>
        <v>137</v>
      </c>
    </row>
    <row r="981" spans="1:7" x14ac:dyDescent="0.35">
      <c r="A981" s="21">
        <v>8</v>
      </c>
      <c r="B981" s="38" t="s">
        <v>152</v>
      </c>
      <c r="C981" s="38" t="s">
        <v>64</v>
      </c>
      <c r="D981" s="39">
        <v>0</v>
      </c>
      <c r="E981" s="39">
        <v>6</v>
      </c>
      <c r="F981" s="18">
        <f t="shared" si="30"/>
        <v>137</v>
      </c>
      <c r="G981" s="18">
        <f t="shared" si="31"/>
        <v>131</v>
      </c>
    </row>
    <row r="982" spans="1:7" x14ac:dyDescent="0.35">
      <c r="A982" s="21">
        <v>9</v>
      </c>
      <c r="B982" s="38" t="s">
        <v>152</v>
      </c>
      <c r="C982" s="38" t="s">
        <v>64</v>
      </c>
      <c r="D982" s="39">
        <v>0</v>
      </c>
      <c r="E982" s="39">
        <v>4</v>
      </c>
      <c r="F982" s="18">
        <f t="shared" si="30"/>
        <v>131</v>
      </c>
      <c r="G982" s="18">
        <f t="shared" si="31"/>
        <v>127</v>
      </c>
    </row>
    <row r="983" spans="1:7" x14ac:dyDescent="0.35">
      <c r="A983" s="21">
        <v>10</v>
      </c>
      <c r="B983" s="38" t="s">
        <v>152</v>
      </c>
      <c r="C983" s="38" t="s">
        <v>64</v>
      </c>
      <c r="D983" s="39">
        <v>0</v>
      </c>
      <c r="E983" s="39">
        <v>4</v>
      </c>
      <c r="F983" s="18">
        <f t="shared" si="30"/>
        <v>127</v>
      </c>
      <c r="G983" s="18">
        <f t="shared" si="31"/>
        <v>123</v>
      </c>
    </row>
    <row r="984" spans="1:7" x14ac:dyDescent="0.35">
      <c r="A984" s="21">
        <v>11</v>
      </c>
      <c r="B984" s="38" t="s">
        <v>152</v>
      </c>
      <c r="C984" s="38" t="s">
        <v>64</v>
      </c>
      <c r="D984" s="39">
        <v>0</v>
      </c>
      <c r="E984" s="39">
        <v>4</v>
      </c>
      <c r="F984" s="18">
        <f t="shared" si="30"/>
        <v>123</v>
      </c>
      <c r="G984" s="18">
        <f t="shared" si="31"/>
        <v>119</v>
      </c>
    </row>
    <row r="985" spans="1:7" x14ac:dyDescent="0.35">
      <c r="A985" s="21">
        <v>12</v>
      </c>
      <c r="B985" s="38" t="s">
        <v>152</v>
      </c>
      <c r="C985" s="38" t="s">
        <v>64</v>
      </c>
      <c r="D985" s="39">
        <v>0</v>
      </c>
      <c r="E985" s="39">
        <v>3</v>
      </c>
      <c r="F985" s="18">
        <f t="shared" si="30"/>
        <v>119</v>
      </c>
      <c r="G985" s="18">
        <f t="shared" si="31"/>
        <v>116</v>
      </c>
    </row>
    <row r="986" spans="1:7" x14ac:dyDescent="0.35">
      <c r="A986" s="21">
        <v>1</v>
      </c>
      <c r="B986" s="38" t="s">
        <v>152</v>
      </c>
      <c r="C986" s="38" t="s">
        <v>66</v>
      </c>
      <c r="D986" s="39">
        <v>111</v>
      </c>
      <c r="E986" s="39">
        <v>9</v>
      </c>
      <c r="F986" s="18">
        <f t="shared" si="30"/>
        <v>0</v>
      </c>
      <c r="G986" s="18">
        <f t="shared" si="31"/>
        <v>102</v>
      </c>
    </row>
    <row r="987" spans="1:7" x14ac:dyDescent="0.35">
      <c r="A987" s="21">
        <v>2</v>
      </c>
      <c r="B987" s="38" t="s">
        <v>152</v>
      </c>
      <c r="C987" s="38" t="s">
        <v>66</v>
      </c>
      <c r="D987" s="39">
        <v>0</v>
      </c>
      <c r="E987" s="39">
        <v>7</v>
      </c>
      <c r="F987" s="18">
        <f t="shared" si="30"/>
        <v>102</v>
      </c>
      <c r="G987" s="18">
        <f t="shared" si="31"/>
        <v>95</v>
      </c>
    </row>
    <row r="988" spans="1:7" x14ac:dyDescent="0.35">
      <c r="A988" s="21">
        <v>3</v>
      </c>
      <c r="B988" s="38" t="s">
        <v>152</v>
      </c>
      <c r="C988" s="38" t="s">
        <v>66</v>
      </c>
      <c r="D988" s="39">
        <v>0</v>
      </c>
      <c r="E988" s="39">
        <v>8</v>
      </c>
      <c r="F988" s="18">
        <f t="shared" si="30"/>
        <v>95</v>
      </c>
      <c r="G988" s="18">
        <f t="shared" si="31"/>
        <v>87</v>
      </c>
    </row>
    <row r="989" spans="1:7" x14ac:dyDescent="0.35">
      <c r="A989" s="21">
        <v>4</v>
      </c>
      <c r="B989" s="38" t="s">
        <v>152</v>
      </c>
      <c r="C989" s="38" t="s">
        <v>66</v>
      </c>
      <c r="D989" s="39">
        <v>0</v>
      </c>
      <c r="E989" s="39">
        <v>5</v>
      </c>
      <c r="F989" s="18">
        <f t="shared" si="30"/>
        <v>87</v>
      </c>
      <c r="G989" s="18">
        <f t="shared" si="31"/>
        <v>82</v>
      </c>
    </row>
    <row r="990" spans="1:7" x14ac:dyDescent="0.35">
      <c r="A990" s="21">
        <v>5</v>
      </c>
      <c r="B990" s="38" t="s">
        <v>152</v>
      </c>
      <c r="C990" s="38" t="s">
        <v>66</v>
      </c>
      <c r="D990" s="39">
        <v>0</v>
      </c>
      <c r="E990" s="39">
        <v>4</v>
      </c>
      <c r="F990" s="18">
        <f t="shared" si="30"/>
        <v>82</v>
      </c>
      <c r="G990" s="18">
        <f t="shared" si="31"/>
        <v>78</v>
      </c>
    </row>
    <row r="991" spans="1:7" x14ac:dyDescent="0.35">
      <c r="A991" s="21">
        <v>6</v>
      </c>
      <c r="B991" s="38" t="s">
        <v>152</v>
      </c>
      <c r="C991" s="38" t="s">
        <v>66</v>
      </c>
      <c r="D991" s="39">
        <v>0</v>
      </c>
      <c r="E991" s="39">
        <v>5</v>
      </c>
      <c r="F991" s="18">
        <f t="shared" si="30"/>
        <v>78</v>
      </c>
      <c r="G991" s="18">
        <f t="shared" si="31"/>
        <v>73</v>
      </c>
    </row>
    <row r="992" spans="1:7" x14ac:dyDescent="0.35">
      <c r="A992" s="21">
        <v>7</v>
      </c>
      <c r="B992" s="38" t="s">
        <v>152</v>
      </c>
      <c r="C992" s="38" t="s">
        <v>66</v>
      </c>
      <c r="D992" s="39">
        <v>0</v>
      </c>
      <c r="E992" s="39">
        <v>5</v>
      </c>
      <c r="F992" s="18">
        <f t="shared" si="30"/>
        <v>73</v>
      </c>
      <c r="G992" s="18">
        <f t="shared" si="31"/>
        <v>68</v>
      </c>
    </row>
    <row r="993" spans="1:7" x14ac:dyDescent="0.35">
      <c r="A993" s="21">
        <v>8</v>
      </c>
      <c r="B993" s="38" t="s">
        <v>152</v>
      </c>
      <c r="C993" s="38" t="s">
        <v>66</v>
      </c>
      <c r="D993" s="39">
        <v>0</v>
      </c>
      <c r="E993" s="39">
        <v>3</v>
      </c>
      <c r="F993" s="18">
        <f t="shared" si="30"/>
        <v>68</v>
      </c>
      <c r="G993" s="18">
        <f t="shared" si="31"/>
        <v>65</v>
      </c>
    </row>
    <row r="994" spans="1:7" x14ac:dyDescent="0.35">
      <c r="A994" s="21">
        <v>9</v>
      </c>
      <c r="B994" s="38" t="s">
        <v>152</v>
      </c>
      <c r="C994" s="38" t="s">
        <v>66</v>
      </c>
      <c r="D994" s="39">
        <v>0</v>
      </c>
      <c r="E994" s="39">
        <v>3</v>
      </c>
      <c r="F994" s="18">
        <f t="shared" si="30"/>
        <v>65</v>
      </c>
      <c r="G994" s="18">
        <f t="shared" si="31"/>
        <v>62</v>
      </c>
    </row>
    <row r="995" spans="1:7" x14ac:dyDescent="0.35">
      <c r="A995" s="21">
        <v>10</v>
      </c>
      <c r="B995" s="38" t="s">
        <v>152</v>
      </c>
      <c r="C995" s="38" t="s">
        <v>66</v>
      </c>
      <c r="D995" s="39">
        <v>0</v>
      </c>
      <c r="E995" s="39">
        <v>2</v>
      </c>
      <c r="F995" s="18">
        <f t="shared" si="30"/>
        <v>62</v>
      </c>
      <c r="G995" s="18">
        <f t="shared" si="31"/>
        <v>60</v>
      </c>
    </row>
    <row r="996" spans="1:7" x14ac:dyDescent="0.35">
      <c r="A996" s="21">
        <v>11</v>
      </c>
      <c r="B996" s="38" t="s">
        <v>152</v>
      </c>
      <c r="C996" s="38" t="s">
        <v>66</v>
      </c>
      <c r="D996" s="39">
        <v>0</v>
      </c>
      <c r="E996" s="39">
        <v>3</v>
      </c>
      <c r="F996" s="18">
        <f t="shared" si="30"/>
        <v>60</v>
      </c>
      <c r="G996" s="18">
        <f t="shared" si="31"/>
        <v>57</v>
      </c>
    </row>
    <row r="997" spans="1:7" x14ac:dyDescent="0.35">
      <c r="A997" s="21">
        <v>12</v>
      </c>
      <c r="B997" s="38" t="s">
        <v>152</v>
      </c>
      <c r="C997" s="38" t="s">
        <v>66</v>
      </c>
      <c r="D997" s="39">
        <v>0</v>
      </c>
      <c r="E997" s="39">
        <v>2</v>
      </c>
      <c r="F997" s="18">
        <f t="shared" si="30"/>
        <v>57</v>
      </c>
      <c r="G997" s="18">
        <f t="shared" si="31"/>
        <v>55</v>
      </c>
    </row>
    <row r="998" spans="1:7" x14ac:dyDescent="0.35">
      <c r="A998" s="21">
        <v>1</v>
      </c>
      <c r="B998" s="38" t="s">
        <v>152</v>
      </c>
      <c r="C998" s="38" t="s">
        <v>68</v>
      </c>
      <c r="D998" s="39">
        <v>154</v>
      </c>
      <c r="E998" s="39">
        <v>8</v>
      </c>
      <c r="F998" s="18">
        <f t="shared" si="30"/>
        <v>0</v>
      </c>
      <c r="G998" s="18">
        <f t="shared" si="31"/>
        <v>146</v>
      </c>
    </row>
    <row r="999" spans="1:7" x14ac:dyDescent="0.35">
      <c r="A999" s="21">
        <v>2</v>
      </c>
      <c r="B999" s="38" t="s">
        <v>152</v>
      </c>
      <c r="C999" s="38" t="s">
        <v>68</v>
      </c>
      <c r="D999" s="39">
        <v>0</v>
      </c>
      <c r="E999" s="39">
        <v>10</v>
      </c>
      <c r="F999" s="18">
        <f t="shared" si="30"/>
        <v>146</v>
      </c>
      <c r="G999" s="18">
        <f t="shared" si="31"/>
        <v>136</v>
      </c>
    </row>
    <row r="1000" spans="1:7" x14ac:dyDescent="0.35">
      <c r="A1000" s="21">
        <v>3</v>
      </c>
      <c r="B1000" s="38" t="s">
        <v>152</v>
      </c>
      <c r="C1000" s="38" t="s">
        <v>68</v>
      </c>
      <c r="D1000" s="39">
        <v>0</v>
      </c>
      <c r="E1000" s="39">
        <v>11</v>
      </c>
      <c r="F1000" s="18">
        <f t="shared" si="30"/>
        <v>136</v>
      </c>
      <c r="G1000" s="18">
        <f t="shared" si="31"/>
        <v>125</v>
      </c>
    </row>
    <row r="1001" spans="1:7" x14ac:dyDescent="0.35">
      <c r="A1001" s="21">
        <v>4</v>
      </c>
      <c r="B1001" s="38" t="s">
        <v>152</v>
      </c>
      <c r="C1001" s="38" t="s">
        <v>68</v>
      </c>
      <c r="D1001" s="39">
        <v>0</v>
      </c>
      <c r="E1001" s="39">
        <v>9</v>
      </c>
      <c r="F1001" s="18">
        <f t="shared" si="30"/>
        <v>125</v>
      </c>
      <c r="G1001" s="18">
        <f t="shared" si="31"/>
        <v>116</v>
      </c>
    </row>
    <row r="1002" spans="1:7" x14ac:dyDescent="0.35">
      <c r="A1002" s="21">
        <v>5</v>
      </c>
      <c r="B1002" s="38" t="s">
        <v>152</v>
      </c>
      <c r="C1002" s="38" t="s">
        <v>68</v>
      </c>
      <c r="D1002" s="39">
        <v>0</v>
      </c>
      <c r="E1002" s="39">
        <v>7</v>
      </c>
      <c r="F1002" s="18">
        <f t="shared" si="30"/>
        <v>116</v>
      </c>
      <c r="G1002" s="18">
        <f t="shared" si="31"/>
        <v>109</v>
      </c>
    </row>
    <row r="1003" spans="1:7" x14ac:dyDescent="0.35">
      <c r="A1003" s="21">
        <v>6</v>
      </c>
      <c r="B1003" s="38" t="s">
        <v>152</v>
      </c>
      <c r="C1003" s="38" t="s">
        <v>68</v>
      </c>
      <c r="D1003" s="39">
        <v>0</v>
      </c>
      <c r="E1003" s="39">
        <v>5</v>
      </c>
      <c r="F1003" s="18">
        <f t="shared" si="30"/>
        <v>109</v>
      </c>
      <c r="G1003" s="18">
        <f t="shared" si="31"/>
        <v>104</v>
      </c>
    </row>
    <row r="1004" spans="1:7" x14ac:dyDescent="0.35">
      <c r="A1004" s="21">
        <v>7</v>
      </c>
      <c r="B1004" s="38" t="s">
        <v>152</v>
      </c>
      <c r="C1004" s="38" t="s">
        <v>68</v>
      </c>
      <c r="D1004" s="39">
        <v>0</v>
      </c>
      <c r="E1004" s="39">
        <v>5</v>
      </c>
      <c r="F1004" s="18">
        <f t="shared" si="30"/>
        <v>104</v>
      </c>
      <c r="G1004" s="18">
        <f t="shared" si="31"/>
        <v>99</v>
      </c>
    </row>
    <row r="1005" spans="1:7" x14ac:dyDescent="0.35">
      <c r="A1005" s="21">
        <v>8</v>
      </c>
      <c r="B1005" s="38" t="s">
        <v>152</v>
      </c>
      <c r="C1005" s="38" t="s">
        <v>68</v>
      </c>
      <c r="D1005" s="39">
        <v>0</v>
      </c>
      <c r="E1005" s="39">
        <v>4</v>
      </c>
      <c r="F1005" s="18">
        <f t="shared" si="30"/>
        <v>99</v>
      </c>
      <c r="G1005" s="18">
        <f t="shared" si="31"/>
        <v>95</v>
      </c>
    </row>
    <row r="1006" spans="1:7" x14ac:dyDescent="0.35">
      <c r="A1006" s="21">
        <v>9</v>
      </c>
      <c r="B1006" s="38" t="s">
        <v>152</v>
      </c>
      <c r="C1006" s="38" t="s">
        <v>68</v>
      </c>
      <c r="D1006" s="39">
        <v>0</v>
      </c>
      <c r="E1006" s="39">
        <v>5</v>
      </c>
      <c r="F1006" s="18">
        <f t="shared" si="30"/>
        <v>95</v>
      </c>
      <c r="G1006" s="18">
        <f t="shared" si="31"/>
        <v>90</v>
      </c>
    </row>
    <row r="1007" spans="1:7" x14ac:dyDescent="0.35">
      <c r="A1007" s="21">
        <v>10</v>
      </c>
      <c r="B1007" s="38" t="s">
        <v>152</v>
      </c>
      <c r="C1007" s="38" t="s">
        <v>68</v>
      </c>
      <c r="D1007" s="39">
        <v>0</v>
      </c>
      <c r="E1007" s="39">
        <v>5</v>
      </c>
      <c r="F1007" s="18">
        <f t="shared" si="30"/>
        <v>90</v>
      </c>
      <c r="G1007" s="18">
        <f t="shared" si="31"/>
        <v>85</v>
      </c>
    </row>
    <row r="1008" spans="1:7" x14ac:dyDescent="0.35">
      <c r="A1008" s="21">
        <v>11</v>
      </c>
      <c r="B1008" s="38" t="s">
        <v>152</v>
      </c>
      <c r="C1008" s="38" t="s">
        <v>68</v>
      </c>
      <c r="D1008" s="39">
        <v>0</v>
      </c>
      <c r="E1008" s="39">
        <v>4</v>
      </c>
      <c r="F1008" s="18">
        <f t="shared" si="30"/>
        <v>85</v>
      </c>
      <c r="G1008" s="18">
        <f t="shared" si="31"/>
        <v>81</v>
      </c>
    </row>
    <row r="1009" spans="1:7" x14ac:dyDescent="0.35">
      <c r="A1009" s="21">
        <v>12</v>
      </c>
      <c r="B1009" s="38" t="s">
        <v>152</v>
      </c>
      <c r="C1009" s="38" t="s">
        <v>68</v>
      </c>
      <c r="D1009" s="39">
        <v>0</v>
      </c>
      <c r="E1009" s="39">
        <v>4</v>
      </c>
      <c r="F1009" s="18">
        <f t="shared" si="30"/>
        <v>81</v>
      </c>
      <c r="G1009" s="18">
        <f t="shared" si="31"/>
        <v>77</v>
      </c>
    </row>
    <row r="1010" spans="1:7" x14ac:dyDescent="0.35">
      <c r="A1010" s="21">
        <v>1</v>
      </c>
      <c r="B1010" s="38" t="s">
        <v>156</v>
      </c>
      <c r="C1010" s="38" t="s">
        <v>62</v>
      </c>
      <c r="D1010" s="39">
        <v>171</v>
      </c>
      <c r="E1010" s="39">
        <v>8</v>
      </c>
      <c r="F1010" s="18">
        <f t="shared" si="30"/>
        <v>0</v>
      </c>
      <c r="G1010" s="18">
        <f t="shared" si="31"/>
        <v>163</v>
      </c>
    </row>
    <row r="1011" spans="1:7" x14ac:dyDescent="0.35">
      <c r="A1011" s="21">
        <v>2</v>
      </c>
      <c r="B1011" s="38" t="s">
        <v>156</v>
      </c>
      <c r="C1011" s="38" t="s">
        <v>62</v>
      </c>
      <c r="D1011" s="39">
        <v>0</v>
      </c>
      <c r="E1011" s="39">
        <v>7</v>
      </c>
      <c r="F1011" s="18">
        <f t="shared" si="30"/>
        <v>163</v>
      </c>
      <c r="G1011" s="18">
        <f t="shared" si="31"/>
        <v>156</v>
      </c>
    </row>
    <row r="1012" spans="1:7" x14ac:dyDescent="0.35">
      <c r="A1012" s="21">
        <v>3</v>
      </c>
      <c r="B1012" s="38" t="s">
        <v>156</v>
      </c>
      <c r="C1012" s="38" t="s">
        <v>62</v>
      </c>
      <c r="D1012" s="39">
        <v>0</v>
      </c>
      <c r="E1012" s="39">
        <v>8</v>
      </c>
      <c r="F1012" s="18">
        <f t="shared" si="30"/>
        <v>156</v>
      </c>
      <c r="G1012" s="18">
        <f t="shared" si="31"/>
        <v>148</v>
      </c>
    </row>
    <row r="1013" spans="1:7" x14ac:dyDescent="0.35">
      <c r="A1013" s="21">
        <v>4</v>
      </c>
      <c r="B1013" s="38" t="s">
        <v>156</v>
      </c>
      <c r="C1013" s="38" t="s">
        <v>62</v>
      </c>
      <c r="D1013" s="39">
        <v>0</v>
      </c>
      <c r="E1013" s="39">
        <v>8</v>
      </c>
      <c r="F1013" s="18">
        <f t="shared" si="30"/>
        <v>148</v>
      </c>
      <c r="G1013" s="18">
        <f t="shared" si="31"/>
        <v>140</v>
      </c>
    </row>
    <row r="1014" spans="1:7" x14ac:dyDescent="0.35">
      <c r="A1014" s="21">
        <v>5</v>
      </c>
      <c r="B1014" s="38" t="s">
        <v>156</v>
      </c>
      <c r="C1014" s="38" t="s">
        <v>62</v>
      </c>
      <c r="D1014" s="39">
        <v>0</v>
      </c>
      <c r="E1014" s="39">
        <v>5</v>
      </c>
      <c r="F1014" s="18">
        <f t="shared" si="30"/>
        <v>140</v>
      </c>
      <c r="G1014" s="18">
        <f t="shared" si="31"/>
        <v>135</v>
      </c>
    </row>
    <row r="1015" spans="1:7" x14ac:dyDescent="0.35">
      <c r="A1015" s="21">
        <v>6</v>
      </c>
      <c r="B1015" s="38" t="s">
        <v>156</v>
      </c>
      <c r="C1015" s="38" t="s">
        <v>62</v>
      </c>
      <c r="D1015" s="39">
        <v>0</v>
      </c>
      <c r="E1015" s="39">
        <v>7</v>
      </c>
      <c r="F1015" s="18">
        <f t="shared" si="30"/>
        <v>135</v>
      </c>
      <c r="G1015" s="18">
        <f t="shared" si="31"/>
        <v>128</v>
      </c>
    </row>
    <row r="1016" spans="1:7" x14ac:dyDescent="0.35">
      <c r="A1016" s="21">
        <v>7</v>
      </c>
      <c r="B1016" s="38" t="s">
        <v>156</v>
      </c>
      <c r="C1016" s="38" t="s">
        <v>62</v>
      </c>
      <c r="D1016" s="39">
        <v>0</v>
      </c>
      <c r="E1016" s="39">
        <v>6</v>
      </c>
      <c r="F1016" s="18">
        <f t="shared" si="30"/>
        <v>128</v>
      </c>
      <c r="G1016" s="18">
        <f t="shared" si="31"/>
        <v>122</v>
      </c>
    </row>
    <row r="1017" spans="1:7" x14ac:dyDescent="0.35">
      <c r="A1017" s="21">
        <v>8</v>
      </c>
      <c r="B1017" s="38" t="s">
        <v>156</v>
      </c>
      <c r="C1017" s="38" t="s">
        <v>62</v>
      </c>
      <c r="D1017" s="39">
        <v>0</v>
      </c>
      <c r="E1017" s="39">
        <v>5</v>
      </c>
      <c r="F1017" s="18">
        <f t="shared" si="30"/>
        <v>122</v>
      </c>
      <c r="G1017" s="18">
        <f t="shared" si="31"/>
        <v>117</v>
      </c>
    </row>
    <row r="1018" spans="1:7" x14ac:dyDescent="0.35">
      <c r="A1018" s="21">
        <v>9</v>
      </c>
      <c r="B1018" s="38" t="s">
        <v>156</v>
      </c>
      <c r="C1018" s="38" t="s">
        <v>62</v>
      </c>
      <c r="D1018" s="39">
        <v>0</v>
      </c>
      <c r="E1018" s="39">
        <v>3</v>
      </c>
      <c r="F1018" s="18">
        <f t="shared" si="30"/>
        <v>117</v>
      </c>
      <c r="G1018" s="18">
        <f t="shared" si="31"/>
        <v>114</v>
      </c>
    </row>
    <row r="1019" spans="1:7" x14ac:dyDescent="0.35">
      <c r="A1019" s="21">
        <v>10</v>
      </c>
      <c r="B1019" s="38" t="s">
        <v>156</v>
      </c>
      <c r="C1019" s="38" t="s">
        <v>62</v>
      </c>
      <c r="D1019" s="39">
        <v>0</v>
      </c>
      <c r="E1019" s="39">
        <v>3</v>
      </c>
      <c r="F1019" s="18">
        <f t="shared" si="30"/>
        <v>114</v>
      </c>
      <c r="G1019" s="18">
        <f t="shared" si="31"/>
        <v>111</v>
      </c>
    </row>
    <row r="1020" spans="1:7" x14ac:dyDescent="0.35">
      <c r="A1020" s="21">
        <v>11</v>
      </c>
      <c r="B1020" s="38" t="s">
        <v>156</v>
      </c>
      <c r="C1020" s="38" t="s">
        <v>62</v>
      </c>
      <c r="D1020" s="39">
        <v>0</v>
      </c>
      <c r="E1020" s="39">
        <v>3</v>
      </c>
      <c r="F1020" s="18">
        <f t="shared" si="30"/>
        <v>111</v>
      </c>
      <c r="G1020" s="18">
        <f t="shared" si="31"/>
        <v>108</v>
      </c>
    </row>
    <row r="1021" spans="1:7" x14ac:dyDescent="0.35">
      <c r="A1021" s="21">
        <v>12</v>
      </c>
      <c r="B1021" s="38" t="s">
        <v>156</v>
      </c>
      <c r="C1021" s="38" t="s">
        <v>62</v>
      </c>
      <c r="D1021" s="39">
        <v>0</v>
      </c>
      <c r="E1021" s="39">
        <v>4</v>
      </c>
      <c r="F1021" s="18">
        <f t="shared" si="30"/>
        <v>108</v>
      </c>
      <c r="G1021" s="18">
        <f t="shared" si="31"/>
        <v>104</v>
      </c>
    </row>
    <row r="1022" spans="1:7" x14ac:dyDescent="0.35">
      <c r="A1022" s="21">
        <v>1</v>
      </c>
      <c r="B1022" s="38" t="s">
        <v>156</v>
      </c>
      <c r="C1022" s="38" t="s">
        <v>64</v>
      </c>
      <c r="D1022" s="39">
        <v>215</v>
      </c>
      <c r="E1022" s="39">
        <v>16</v>
      </c>
      <c r="F1022" s="18">
        <f t="shared" si="30"/>
        <v>0</v>
      </c>
      <c r="G1022" s="18">
        <f t="shared" si="31"/>
        <v>199</v>
      </c>
    </row>
    <row r="1023" spans="1:7" x14ac:dyDescent="0.35">
      <c r="A1023" s="21">
        <v>2</v>
      </c>
      <c r="B1023" s="38" t="s">
        <v>156</v>
      </c>
      <c r="C1023" s="38" t="s">
        <v>64</v>
      </c>
      <c r="D1023" s="39">
        <v>0</v>
      </c>
      <c r="E1023" s="39">
        <v>11</v>
      </c>
      <c r="F1023" s="18">
        <f t="shared" si="30"/>
        <v>199</v>
      </c>
      <c r="G1023" s="18">
        <f t="shared" si="31"/>
        <v>188</v>
      </c>
    </row>
    <row r="1024" spans="1:7" x14ac:dyDescent="0.35">
      <c r="A1024" s="21">
        <v>3</v>
      </c>
      <c r="B1024" s="38" t="s">
        <v>156</v>
      </c>
      <c r="C1024" s="38" t="s">
        <v>64</v>
      </c>
      <c r="D1024" s="39">
        <v>0</v>
      </c>
      <c r="E1024" s="39">
        <v>11</v>
      </c>
      <c r="F1024" s="18">
        <f t="shared" si="30"/>
        <v>188</v>
      </c>
      <c r="G1024" s="18">
        <f t="shared" si="31"/>
        <v>177</v>
      </c>
    </row>
    <row r="1025" spans="1:7" x14ac:dyDescent="0.35">
      <c r="A1025" s="21">
        <v>4</v>
      </c>
      <c r="B1025" s="38" t="s">
        <v>156</v>
      </c>
      <c r="C1025" s="38" t="s">
        <v>64</v>
      </c>
      <c r="D1025" s="39">
        <v>0</v>
      </c>
      <c r="E1025" s="39">
        <v>10</v>
      </c>
      <c r="F1025" s="18">
        <f t="shared" si="30"/>
        <v>177</v>
      </c>
      <c r="G1025" s="18">
        <f t="shared" si="31"/>
        <v>167</v>
      </c>
    </row>
    <row r="1026" spans="1:7" x14ac:dyDescent="0.35">
      <c r="A1026" s="21">
        <v>5</v>
      </c>
      <c r="B1026" s="38" t="s">
        <v>156</v>
      </c>
      <c r="C1026" s="38" t="s">
        <v>64</v>
      </c>
      <c r="D1026" s="39">
        <v>0</v>
      </c>
      <c r="E1026" s="39">
        <v>11</v>
      </c>
      <c r="F1026" s="18">
        <f t="shared" ref="F1026:F1089" si="32">IF(A1026=1,0,G1025)</f>
        <v>167</v>
      </c>
      <c r="G1026" s="18">
        <f t="shared" ref="G1026:G1089" si="33">F1026+D1026-E1026</f>
        <v>156</v>
      </c>
    </row>
    <row r="1027" spans="1:7" x14ac:dyDescent="0.35">
      <c r="A1027" s="21">
        <v>6</v>
      </c>
      <c r="B1027" s="38" t="s">
        <v>156</v>
      </c>
      <c r="C1027" s="38" t="s">
        <v>64</v>
      </c>
      <c r="D1027" s="39">
        <v>0</v>
      </c>
      <c r="E1027" s="39">
        <v>10</v>
      </c>
      <c r="F1027" s="18">
        <f t="shared" si="32"/>
        <v>156</v>
      </c>
      <c r="G1027" s="18">
        <f t="shared" si="33"/>
        <v>146</v>
      </c>
    </row>
    <row r="1028" spans="1:7" x14ac:dyDescent="0.35">
      <c r="A1028" s="21">
        <v>7</v>
      </c>
      <c r="B1028" s="38" t="s">
        <v>156</v>
      </c>
      <c r="C1028" s="38" t="s">
        <v>64</v>
      </c>
      <c r="D1028" s="39">
        <v>0</v>
      </c>
      <c r="E1028" s="39">
        <v>6</v>
      </c>
      <c r="F1028" s="18">
        <f t="shared" si="32"/>
        <v>146</v>
      </c>
      <c r="G1028" s="18">
        <f t="shared" si="33"/>
        <v>140</v>
      </c>
    </row>
    <row r="1029" spans="1:7" x14ac:dyDescent="0.35">
      <c r="A1029" s="21">
        <v>8</v>
      </c>
      <c r="B1029" s="38" t="s">
        <v>156</v>
      </c>
      <c r="C1029" s="38" t="s">
        <v>64</v>
      </c>
      <c r="D1029" s="39">
        <v>0</v>
      </c>
      <c r="E1029" s="39">
        <v>8</v>
      </c>
      <c r="F1029" s="18">
        <f t="shared" si="32"/>
        <v>140</v>
      </c>
      <c r="G1029" s="18">
        <f t="shared" si="33"/>
        <v>132</v>
      </c>
    </row>
    <row r="1030" spans="1:7" x14ac:dyDescent="0.35">
      <c r="A1030" s="21">
        <v>9</v>
      </c>
      <c r="B1030" s="38" t="s">
        <v>156</v>
      </c>
      <c r="C1030" s="38" t="s">
        <v>64</v>
      </c>
      <c r="D1030" s="39">
        <v>0</v>
      </c>
      <c r="E1030" s="39">
        <v>5</v>
      </c>
      <c r="F1030" s="18">
        <f t="shared" si="32"/>
        <v>132</v>
      </c>
      <c r="G1030" s="18">
        <f t="shared" si="33"/>
        <v>127</v>
      </c>
    </row>
    <row r="1031" spans="1:7" x14ac:dyDescent="0.35">
      <c r="A1031" s="21">
        <v>10</v>
      </c>
      <c r="B1031" s="38" t="s">
        <v>156</v>
      </c>
      <c r="C1031" s="38" t="s">
        <v>64</v>
      </c>
      <c r="D1031" s="39">
        <v>0</v>
      </c>
      <c r="E1031" s="39">
        <v>7</v>
      </c>
      <c r="F1031" s="18">
        <f t="shared" si="32"/>
        <v>127</v>
      </c>
      <c r="G1031" s="18">
        <f t="shared" si="33"/>
        <v>120</v>
      </c>
    </row>
    <row r="1032" spans="1:7" x14ac:dyDescent="0.35">
      <c r="A1032" s="21">
        <v>11</v>
      </c>
      <c r="B1032" s="38" t="s">
        <v>156</v>
      </c>
      <c r="C1032" s="38" t="s">
        <v>64</v>
      </c>
      <c r="D1032" s="39">
        <v>0</v>
      </c>
      <c r="E1032" s="39">
        <v>4</v>
      </c>
      <c r="F1032" s="18">
        <f t="shared" si="32"/>
        <v>120</v>
      </c>
      <c r="G1032" s="18">
        <f t="shared" si="33"/>
        <v>116</v>
      </c>
    </row>
    <row r="1033" spans="1:7" x14ac:dyDescent="0.35">
      <c r="A1033" s="21">
        <v>12</v>
      </c>
      <c r="B1033" s="38" t="s">
        <v>156</v>
      </c>
      <c r="C1033" s="38" t="s">
        <v>64</v>
      </c>
      <c r="D1033" s="39">
        <v>0</v>
      </c>
      <c r="E1033" s="39">
        <v>4</v>
      </c>
      <c r="F1033" s="18">
        <f t="shared" si="32"/>
        <v>116</v>
      </c>
      <c r="G1033" s="18">
        <f t="shared" si="33"/>
        <v>112</v>
      </c>
    </row>
    <row r="1034" spans="1:7" x14ac:dyDescent="0.35">
      <c r="A1034" s="21">
        <v>1</v>
      </c>
      <c r="B1034" s="38" t="s">
        <v>156</v>
      </c>
      <c r="C1034" s="38" t="s">
        <v>66</v>
      </c>
      <c r="D1034" s="39">
        <v>142</v>
      </c>
      <c r="E1034" s="39">
        <v>7</v>
      </c>
      <c r="F1034" s="18">
        <f t="shared" si="32"/>
        <v>0</v>
      </c>
      <c r="G1034" s="18">
        <f t="shared" si="33"/>
        <v>135</v>
      </c>
    </row>
    <row r="1035" spans="1:7" x14ac:dyDescent="0.35">
      <c r="A1035" s="21">
        <v>2</v>
      </c>
      <c r="B1035" s="38" t="s">
        <v>156</v>
      </c>
      <c r="C1035" s="38" t="s">
        <v>66</v>
      </c>
      <c r="D1035" s="39">
        <v>0</v>
      </c>
      <c r="E1035" s="39">
        <v>8</v>
      </c>
      <c r="F1035" s="18">
        <f t="shared" si="32"/>
        <v>135</v>
      </c>
      <c r="G1035" s="18">
        <f t="shared" si="33"/>
        <v>127</v>
      </c>
    </row>
    <row r="1036" spans="1:7" x14ac:dyDescent="0.35">
      <c r="A1036" s="21">
        <v>3</v>
      </c>
      <c r="B1036" s="38" t="s">
        <v>156</v>
      </c>
      <c r="C1036" s="38" t="s">
        <v>66</v>
      </c>
      <c r="D1036" s="39">
        <v>0</v>
      </c>
      <c r="E1036" s="39">
        <v>7</v>
      </c>
      <c r="F1036" s="18">
        <f t="shared" si="32"/>
        <v>127</v>
      </c>
      <c r="G1036" s="18">
        <f t="shared" si="33"/>
        <v>120</v>
      </c>
    </row>
    <row r="1037" spans="1:7" x14ac:dyDescent="0.35">
      <c r="A1037" s="21">
        <v>4</v>
      </c>
      <c r="B1037" s="38" t="s">
        <v>156</v>
      </c>
      <c r="C1037" s="38" t="s">
        <v>66</v>
      </c>
      <c r="D1037" s="39">
        <v>0</v>
      </c>
      <c r="E1037" s="39">
        <v>5</v>
      </c>
      <c r="F1037" s="18">
        <f t="shared" si="32"/>
        <v>120</v>
      </c>
      <c r="G1037" s="18">
        <f t="shared" si="33"/>
        <v>115</v>
      </c>
    </row>
    <row r="1038" spans="1:7" x14ac:dyDescent="0.35">
      <c r="A1038" s="21">
        <v>5</v>
      </c>
      <c r="B1038" s="38" t="s">
        <v>156</v>
      </c>
      <c r="C1038" s="38" t="s">
        <v>66</v>
      </c>
      <c r="D1038" s="39">
        <v>0</v>
      </c>
      <c r="E1038" s="39">
        <v>7</v>
      </c>
      <c r="F1038" s="18">
        <f t="shared" si="32"/>
        <v>115</v>
      </c>
      <c r="G1038" s="18">
        <f t="shared" si="33"/>
        <v>108</v>
      </c>
    </row>
    <row r="1039" spans="1:7" x14ac:dyDescent="0.35">
      <c r="A1039" s="21">
        <v>6</v>
      </c>
      <c r="B1039" s="38" t="s">
        <v>156</v>
      </c>
      <c r="C1039" s="38" t="s">
        <v>66</v>
      </c>
      <c r="D1039" s="39">
        <v>0</v>
      </c>
      <c r="E1039" s="39">
        <v>6</v>
      </c>
      <c r="F1039" s="18">
        <f t="shared" si="32"/>
        <v>108</v>
      </c>
      <c r="G1039" s="18">
        <f t="shared" si="33"/>
        <v>102</v>
      </c>
    </row>
    <row r="1040" spans="1:7" x14ac:dyDescent="0.35">
      <c r="A1040" s="21">
        <v>7</v>
      </c>
      <c r="B1040" s="38" t="s">
        <v>156</v>
      </c>
      <c r="C1040" s="38" t="s">
        <v>66</v>
      </c>
      <c r="D1040" s="39">
        <v>0</v>
      </c>
      <c r="E1040" s="39">
        <v>6</v>
      </c>
      <c r="F1040" s="18">
        <f t="shared" si="32"/>
        <v>102</v>
      </c>
      <c r="G1040" s="18">
        <f t="shared" si="33"/>
        <v>96</v>
      </c>
    </row>
    <row r="1041" spans="1:7" x14ac:dyDescent="0.35">
      <c r="A1041" s="21">
        <v>8</v>
      </c>
      <c r="B1041" s="38" t="s">
        <v>156</v>
      </c>
      <c r="C1041" s="38" t="s">
        <v>66</v>
      </c>
      <c r="D1041" s="39">
        <v>0</v>
      </c>
      <c r="E1041" s="39">
        <v>4</v>
      </c>
      <c r="F1041" s="18">
        <f t="shared" si="32"/>
        <v>96</v>
      </c>
      <c r="G1041" s="18">
        <f t="shared" si="33"/>
        <v>92</v>
      </c>
    </row>
    <row r="1042" spans="1:7" x14ac:dyDescent="0.35">
      <c r="A1042" s="21">
        <v>9</v>
      </c>
      <c r="B1042" s="38" t="s">
        <v>156</v>
      </c>
      <c r="C1042" s="38" t="s">
        <v>66</v>
      </c>
      <c r="D1042" s="39">
        <v>0</v>
      </c>
      <c r="E1042" s="39">
        <v>4</v>
      </c>
      <c r="F1042" s="18">
        <f t="shared" si="32"/>
        <v>92</v>
      </c>
      <c r="G1042" s="18">
        <f t="shared" si="33"/>
        <v>88</v>
      </c>
    </row>
    <row r="1043" spans="1:7" x14ac:dyDescent="0.35">
      <c r="A1043" s="21">
        <v>10</v>
      </c>
      <c r="B1043" s="38" t="s">
        <v>156</v>
      </c>
      <c r="C1043" s="38" t="s">
        <v>66</v>
      </c>
      <c r="D1043" s="39">
        <v>0</v>
      </c>
      <c r="E1043" s="39">
        <v>3</v>
      </c>
      <c r="F1043" s="18">
        <f t="shared" si="32"/>
        <v>88</v>
      </c>
      <c r="G1043" s="18">
        <f t="shared" si="33"/>
        <v>85</v>
      </c>
    </row>
    <row r="1044" spans="1:7" x14ac:dyDescent="0.35">
      <c r="A1044" s="21">
        <v>11</v>
      </c>
      <c r="B1044" s="38" t="s">
        <v>156</v>
      </c>
      <c r="C1044" s="38" t="s">
        <v>66</v>
      </c>
      <c r="D1044" s="39">
        <v>0</v>
      </c>
      <c r="E1044" s="39">
        <v>3</v>
      </c>
      <c r="F1044" s="18">
        <f t="shared" si="32"/>
        <v>85</v>
      </c>
      <c r="G1044" s="18">
        <f t="shared" si="33"/>
        <v>82</v>
      </c>
    </row>
    <row r="1045" spans="1:7" x14ac:dyDescent="0.35">
      <c r="A1045" s="21">
        <v>12</v>
      </c>
      <c r="B1045" s="38" t="s">
        <v>156</v>
      </c>
      <c r="C1045" s="38" t="s">
        <v>66</v>
      </c>
      <c r="D1045" s="39">
        <v>0</v>
      </c>
      <c r="E1045" s="39">
        <v>2</v>
      </c>
      <c r="F1045" s="18">
        <f t="shared" si="32"/>
        <v>82</v>
      </c>
      <c r="G1045" s="18">
        <f t="shared" si="33"/>
        <v>80</v>
      </c>
    </row>
    <row r="1046" spans="1:7" x14ac:dyDescent="0.35">
      <c r="A1046" s="21">
        <v>1</v>
      </c>
      <c r="B1046" s="38" t="s">
        <v>156</v>
      </c>
      <c r="C1046" s="38" t="s">
        <v>68</v>
      </c>
      <c r="D1046" s="39">
        <v>196</v>
      </c>
      <c r="E1046" s="39">
        <v>15</v>
      </c>
      <c r="F1046" s="18">
        <f t="shared" si="32"/>
        <v>0</v>
      </c>
      <c r="G1046" s="18">
        <f t="shared" si="33"/>
        <v>181</v>
      </c>
    </row>
    <row r="1047" spans="1:7" x14ac:dyDescent="0.35">
      <c r="A1047" s="21">
        <v>2</v>
      </c>
      <c r="B1047" s="38" t="s">
        <v>156</v>
      </c>
      <c r="C1047" s="38" t="s">
        <v>68</v>
      </c>
      <c r="D1047" s="39">
        <v>0</v>
      </c>
      <c r="E1047" s="39">
        <v>13</v>
      </c>
      <c r="F1047" s="18">
        <f t="shared" si="32"/>
        <v>181</v>
      </c>
      <c r="G1047" s="18">
        <f t="shared" si="33"/>
        <v>168</v>
      </c>
    </row>
    <row r="1048" spans="1:7" x14ac:dyDescent="0.35">
      <c r="A1048" s="21">
        <v>3</v>
      </c>
      <c r="B1048" s="38" t="s">
        <v>156</v>
      </c>
      <c r="C1048" s="38" t="s">
        <v>68</v>
      </c>
      <c r="D1048" s="39">
        <v>0</v>
      </c>
      <c r="E1048" s="39">
        <v>10</v>
      </c>
      <c r="F1048" s="18">
        <f t="shared" si="32"/>
        <v>168</v>
      </c>
      <c r="G1048" s="18">
        <f t="shared" si="33"/>
        <v>158</v>
      </c>
    </row>
    <row r="1049" spans="1:7" x14ac:dyDescent="0.35">
      <c r="A1049" s="21">
        <v>4</v>
      </c>
      <c r="B1049" s="38" t="s">
        <v>156</v>
      </c>
      <c r="C1049" s="38" t="s">
        <v>68</v>
      </c>
      <c r="D1049" s="39">
        <v>0</v>
      </c>
      <c r="E1049" s="39">
        <v>9</v>
      </c>
      <c r="F1049" s="18">
        <f t="shared" si="32"/>
        <v>158</v>
      </c>
      <c r="G1049" s="18">
        <f t="shared" si="33"/>
        <v>149</v>
      </c>
    </row>
    <row r="1050" spans="1:7" x14ac:dyDescent="0.35">
      <c r="A1050" s="21">
        <v>5</v>
      </c>
      <c r="B1050" s="38" t="s">
        <v>156</v>
      </c>
      <c r="C1050" s="38" t="s">
        <v>68</v>
      </c>
      <c r="D1050" s="39">
        <v>0</v>
      </c>
      <c r="E1050" s="39">
        <v>8</v>
      </c>
      <c r="F1050" s="18">
        <f t="shared" si="32"/>
        <v>149</v>
      </c>
      <c r="G1050" s="18">
        <f t="shared" si="33"/>
        <v>141</v>
      </c>
    </row>
    <row r="1051" spans="1:7" x14ac:dyDescent="0.35">
      <c r="A1051" s="21">
        <v>6</v>
      </c>
      <c r="B1051" s="38" t="s">
        <v>156</v>
      </c>
      <c r="C1051" s="38" t="s">
        <v>68</v>
      </c>
      <c r="D1051" s="39">
        <v>0</v>
      </c>
      <c r="E1051" s="39">
        <v>7</v>
      </c>
      <c r="F1051" s="18">
        <f t="shared" si="32"/>
        <v>141</v>
      </c>
      <c r="G1051" s="18">
        <f t="shared" si="33"/>
        <v>134</v>
      </c>
    </row>
    <row r="1052" spans="1:7" x14ac:dyDescent="0.35">
      <c r="A1052" s="21">
        <v>7</v>
      </c>
      <c r="B1052" s="38" t="s">
        <v>156</v>
      </c>
      <c r="C1052" s="38" t="s">
        <v>68</v>
      </c>
      <c r="D1052" s="39">
        <v>0</v>
      </c>
      <c r="E1052" s="39">
        <v>6</v>
      </c>
      <c r="F1052" s="18">
        <f t="shared" si="32"/>
        <v>134</v>
      </c>
      <c r="G1052" s="18">
        <f t="shared" si="33"/>
        <v>128</v>
      </c>
    </row>
    <row r="1053" spans="1:7" x14ac:dyDescent="0.35">
      <c r="A1053" s="21">
        <v>8</v>
      </c>
      <c r="B1053" s="38" t="s">
        <v>156</v>
      </c>
      <c r="C1053" s="38" t="s">
        <v>68</v>
      </c>
      <c r="D1053" s="39">
        <v>0</v>
      </c>
      <c r="E1053" s="39">
        <v>4</v>
      </c>
      <c r="F1053" s="18">
        <f t="shared" si="32"/>
        <v>128</v>
      </c>
      <c r="G1053" s="18">
        <f t="shared" si="33"/>
        <v>124</v>
      </c>
    </row>
    <row r="1054" spans="1:7" x14ac:dyDescent="0.35">
      <c r="A1054" s="21">
        <v>9</v>
      </c>
      <c r="B1054" s="38" t="s">
        <v>156</v>
      </c>
      <c r="C1054" s="38" t="s">
        <v>68</v>
      </c>
      <c r="D1054" s="39">
        <v>0</v>
      </c>
      <c r="E1054" s="39">
        <v>4</v>
      </c>
      <c r="F1054" s="18">
        <f t="shared" si="32"/>
        <v>124</v>
      </c>
      <c r="G1054" s="18">
        <f t="shared" si="33"/>
        <v>120</v>
      </c>
    </row>
    <row r="1055" spans="1:7" x14ac:dyDescent="0.35">
      <c r="A1055" s="21">
        <v>10</v>
      </c>
      <c r="B1055" s="38" t="s">
        <v>156</v>
      </c>
      <c r="C1055" s="38" t="s">
        <v>68</v>
      </c>
      <c r="D1055" s="39">
        <v>0</v>
      </c>
      <c r="E1055" s="39">
        <v>6</v>
      </c>
      <c r="F1055" s="18">
        <f t="shared" si="32"/>
        <v>120</v>
      </c>
      <c r="G1055" s="18">
        <f t="shared" si="33"/>
        <v>114</v>
      </c>
    </row>
    <row r="1056" spans="1:7" x14ac:dyDescent="0.35">
      <c r="A1056" s="21">
        <v>11</v>
      </c>
      <c r="B1056" s="38" t="s">
        <v>156</v>
      </c>
      <c r="C1056" s="38" t="s">
        <v>68</v>
      </c>
      <c r="D1056" s="39">
        <v>0</v>
      </c>
      <c r="E1056" s="39">
        <v>4</v>
      </c>
      <c r="F1056" s="18">
        <f t="shared" si="32"/>
        <v>114</v>
      </c>
      <c r="G1056" s="18">
        <f t="shared" si="33"/>
        <v>110</v>
      </c>
    </row>
    <row r="1057" spans="1:7" x14ac:dyDescent="0.35">
      <c r="A1057" s="21">
        <v>12</v>
      </c>
      <c r="B1057" s="38" t="s">
        <v>156</v>
      </c>
      <c r="C1057" s="38" t="s">
        <v>68</v>
      </c>
      <c r="D1057" s="39">
        <v>0</v>
      </c>
      <c r="E1057" s="39">
        <v>5</v>
      </c>
      <c r="F1057" s="18">
        <f t="shared" si="32"/>
        <v>110</v>
      </c>
      <c r="G1057" s="18">
        <f t="shared" si="33"/>
        <v>105</v>
      </c>
    </row>
    <row r="1058" spans="1:7" x14ac:dyDescent="0.35">
      <c r="A1058" s="21">
        <v>1</v>
      </c>
      <c r="B1058" s="38" t="s">
        <v>158</v>
      </c>
      <c r="C1058" s="38" t="s">
        <v>62</v>
      </c>
      <c r="D1058" s="39">
        <v>148</v>
      </c>
      <c r="E1058" s="39">
        <v>8</v>
      </c>
      <c r="F1058" s="18">
        <f t="shared" si="32"/>
        <v>0</v>
      </c>
      <c r="G1058" s="18">
        <f t="shared" si="33"/>
        <v>140</v>
      </c>
    </row>
    <row r="1059" spans="1:7" x14ac:dyDescent="0.35">
      <c r="A1059" s="21">
        <v>2</v>
      </c>
      <c r="B1059" s="38" t="s">
        <v>158</v>
      </c>
      <c r="C1059" s="38" t="s">
        <v>62</v>
      </c>
      <c r="D1059" s="39">
        <v>0</v>
      </c>
      <c r="E1059" s="39">
        <v>8</v>
      </c>
      <c r="F1059" s="18">
        <f t="shared" si="32"/>
        <v>140</v>
      </c>
      <c r="G1059" s="18">
        <f t="shared" si="33"/>
        <v>132</v>
      </c>
    </row>
    <row r="1060" spans="1:7" x14ac:dyDescent="0.35">
      <c r="A1060" s="21">
        <v>3</v>
      </c>
      <c r="B1060" s="38" t="s">
        <v>158</v>
      </c>
      <c r="C1060" s="38" t="s">
        <v>62</v>
      </c>
      <c r="D1060" s="39">
        <v>0</v>
      </c>
      <c r="E1060" s="39">
        <v>6</v>
      </c>
      <c r="F1060" s="18">
        <f t="shared" si="32"/>
        <v>132</v>
      </c>
      <c r="G1060" s="18">
        <f t="shared" si="33"/>
        <v>126</v>
      </c>
    </row>
    <row r="1061" spans="1:7" x14ac:dyDescent="0.35">
      <c r="A1061" s="21">
        <v>4</v>
      </c>
      <c r="B1061" s="38" t="s">
        <v>158</v>
      </c>
      <c r="C1061" s="38" t="s">
        <v>62</v>
      </c>
      <c r="D1061" s="39">
        <v>0</v>
      </c>
      <c r="E1061" s="39">
        <v>6</v>
      </c>
      <c r="F1061" s="18">
        <f t="shared" si="32"/>
        <v>126</v>
      </c>
      <c r="G1061" s="18">
        <f t="shared" si="33"/>
        <v>120</v>
      </c>
    </row>
    <row r="1062" spans="1:7" x14ac:dyDescent="0.35">
      <c r="A1062" s="21">
        <v>5</v>
      </c>
      <c r="B1062" s="38" t="s">
        <v>158</v>
      </c>
      <c r="C1062" s="38" t="s">
        <v>62</v>
      </c>
      <c r="D1062" s="39">
        <v>0</v>
      </c>
      <c r="E1062" s="39">
        <v>8</v>
      </c>
      <c r="F1062" s="18">
        <f t="shared" si="32"/>
        <v>120</v>
      </c>
      <c r="G1062" s="18">
        <f t="shared" si="33"/>
        <v>112</v>
      </c>
    </row>
    <row r="1063" spans="1:7" x14ac:dyDescent="0.35">
      <c r="A1063" s="21">
        <v>6</v>
      </c>
      <c r="B1063" s="38" t="s">
        <v>158</v>
      </c>
      <c r="C1063" s="38" t="s">
        <v>62</v>
      </c>
      <c r="D1063" s="39">
        <v>0</v>
      </c>
      <c r="E1063" s="39">
        <v>5</v>
      </c>
      <c r="F1063" s="18">
        <f t="shared" si="32"/>
        <v>112</v>
      </c>
      <c r="G1063" s="18">
        <f t="shared" si="33"/>
        <v>107</v>
      </c>
    </row>
    <row r="1064" spans="1:7" x14ac:dyDescent="0.35">
      <c r="A1064" s="21">
        <v>7</v>
      </c>
      <c r="B1064" s="38" t="s">
        <v>158</v>
      </c>
      <c r="C1064" s="38" t="s">
        <v>62</v>
      </c>
      <c r="D1064" s="39">
        <v>0</v>
      </c>
      <c r="E1064" s="39">
        <v>5</v>
      </c>
      <c r="F1064" s="18">
        <f t="shared" si="32"/>
        <v>107</v>
      </c>
      <c r="G1064" s="18">
        <f t="shared" si="33"/>
        <v>102</v>
      </c>
    </row>
    <row r="1065" spans="1:7" x14ac:dyDescent="0.35">
      <c r="A1065" s="21">
        <v>8</v>
      </c>
      <c r="B1065" s="38" t="s">
        <v>158</v>
      </c>
      <c r="C1065" s="38" t="s">
        <v>62</v>
      </c>
      <c r="D1065" s="39">
        <v>0</v>
      </c>
      <c r="E1065" s="39">
        <v>4</v>
      </c>
      <c r="F1065" s="18">
        <f t="shared" si="32"/>
        <v>102</v>
      </c>
      <c r="G1065" s="18">
        <f t="shared" si="33"/>
        <v>98</v>
      </c>
    </row>
    <row r="1066" spans="1:7" x14ac:dyDescent="0.35">
      <c r="A1066" s="21">
        <v>9</v>
      </c>
      <c r="B1066" s="38" t="s">
        <v>158</v>
      </c>
      <c r="C1066" s="38" t="s">
        <v>62</v>
      </c>
      <c r="D1066" s="39">
        <v>0</v>
      </c>
      <c r="E1066" s="39">
        <v>4</v>
      </c>
      <c r="F1066" s="18">
        <f t="shared" si="32"/>
        <v>98</v>
      </c>
      <c r="G1066" s="18">
        <f t="shared" si="33"/>
        <v>94</v>
      </c>
    </row>
    <row r="1067" spans="1:7" x14ac:dyDescent="0.35">
      <c r="A1067" s="21">
        <v>10</v>
      </c>
      <c r="B1067" s="38" t="s">
        <v>158</v>
      </c>
      <c r="C1067" s="38" t="s">
        <v>62</v>
      </c>
      <c r="D1067" s="39">
        <v>0</v>
      </c>
      <c r="E1067" s="39">
        <v>4</v>
      </c>
      <c r="F1067" s="18">
        <f t="shared" si="32"/>
        <v>94</v>
      </c>
      <c r="G1067" s="18">
        <f t="shared" si="33"/>
        <v>90</v>
      </c>
    </row>
    <row r="1068" spans="1:7" x14ac:dyDescent="0.35">
      <c r="A1068" s="21">
        <v>11</v>
      </c>
      <c r="B1068" s="38" t="s">
        <v>158</v>
      </c>
      <c r="C1068" s="38" t="s">
        <v>62</v>
      </c>
      <c r="D1068" s="39">
        <v>0</v>
      </c>
      <c r="E1068" s="39">
        <v>3</v>
      </c>
      <c r="F1068" s="18">
        <f t="shared" si="32"/>
        <v>90</v>
      </c>
      <c r="G1068" s="18">
        <f t="shared" si="33"/>
        <v>87</v>
      </c>
    </row>
    <row r="1069" spans="1:7" x14ac:dyDescent="0.35">
      <c r="A1069" s="21">
        <v>12</v>
      </c>
      <c r="B1069" s="38" t="s">
        <v>158</v>
      </c>
      <c r="C1069" s="38" t="s">
        <v>62</v>
      </c>
      <c r="D1069" s="39">
        <v>0</v>
      </c>
      <c r="E1069" s="39">
        <v>4</v>
      </c>
      <c r="F1069" s="18">
        <f t="shared" si="32"/>
        <v>87</v>
      </c>
      <c r="G1069" s="18">
        <f t="shared" si="33"/>
        <v>83</v>
      </c>
    </row>
    <row r="1070" spans="1:7" x14ac:dyDescent="0.35">
      <c r="A1070" s="21">
        <v>1</v>
      </c>
      <c r="B1070" s="38" t="s">
        <v>158</v>
      </c>
      <c r="C1070" s="38" t="s">
        <v>64</v>
      </c>
      <c r="D1070" s="39">
        <v>211</v>
      </c>
      <c r="E1070" s="39">
        <v>15</v>
      </c>
      <c r="F1070" s="18">
        <f t="shared" si="32"/>
        <v>0</v>
      </c>
      <c r="G1070" s="18">
        <f t="shared" si="33"/>
        <v>196</v>
      </c>
    </row>
    <row r="1071" spans="1:7" x14ac:dyDescent="0.35">
      <c r="A1071" s="21">
        <v>2</v>
      </c>
      <c r="B1071" s="38" t="s">
        <v>158</v>
      </c>
      <c r="C1071" s="38" t="s">
        <v>64</v>
      </c>
      <c r="D1071" s="39">
        <v>0</v>
      </c>
      <c r="E1071" s="39">
        <v>12</v>
      </c>
      <c r="F1071" s="18">
        <f t="shared" si="32"/>
        <v>196</v>
      </c>
      <c r="G1071" s="18">
        <f t="shared" si="33"/>
        <v>184</v>
      </c>
    </row>
    <row r="1072" spans="1:7" x14ac:dyDescent="0.35">
      <c r="A1072" s="21">
        <v>3</v>
      </c>
      <c r="B1072" s="38" t="s">
        <v>158</v>
      </c>
      <c r="C1072" s="38" t="s">
        <v>64</v>
      </c>
      <c r="D1072" s="39">
        <v>0</v>
      </c>
      <c r="E1072" s="39">
        <v>9</v>
      </c>
      <c r="F1072" s="18">
        <f t="shared" si="32"/>
        <v>184</v>
      </c>
      <c r="G1072" s="18">
        <f t="shared" si="33"/>
        <v>175</v>
      </c>
    </row>
    <row r="1073" spans="1:7" x14ac:dyDescent="0.35">
      <c r="A1073" s="21">
        <v>4</v>
      </c>
      <c r="B1073" s="38" t="s">
        <v>158</v>
      </c>
      <c r="C1073" s="38" t="s">
        <v>64</v>
      </c>
      <c r="D1073" s="39">
        <v>0</v>
      </c>
      <c r="E1073" s="39">
        <v>12</v>
      </c>
      <c r="F1073" s="18">
        <f t="shared" si="32"/>
        <v>175</v>
      </c>
      <c r="G1073" s="18">
        <f t="shared" si="33"/>
        <v>163</v>
      </c>
    </row>
    <row r="1074" spans="1:7" x14ac:dyDescent="0.35">
      <c r="A1074" s="21">
        <v>5</v>
      </c>
      <c r="B1074" s="38" t="s">
        <v>158</v>
      </c>
      <c r="C1074" s="38" t="s">
        <v>64</v>
      </c>
      <c r="D1074" s="39">
        <v>0</v>
      </c>
      <c r="E1074" s="39">
        <v>8</v>
      </c>
      <c r="F1074" s="18">
        <f t="shared" si="32"/>
        <v>163</v>
      </c>
      <c r="G1074" s="18">
        <f t="shared" si="33"/>
        <v>155</v>
      </c>
    </row>
    <row r="1075" spans="1:7" x14ac:dyDescent="0.35">
      <c r="A1075" s="21">
        <v>6</v>
      </c>
      <c r="B1075" s="38" t="s">
        <v>158</v>
      </c>
      <c r="C1075" s="38" t="s">
        <v>64</v>
      </c>
      <c r="D1075" s="39">
        <v>0</v>
      </c>
      <c r="E1075" s="39">
        <v>6</v>
      </c>
      <c r="F1075" s="18">
        <f t="shared" si="32"/>
        <v>155</v>
      </c>
      <c r="G1075" s="18">
        <f t="shared" si="33"/>
        <v>149</v>
      </c>
    </row>
    <row r="1076" spans="1:7" x14ac:dyDescent="0.35">
      <c r="A1076" s="21">
        <v>7</v>
      </c>
      <c r="B1076" s="38" t="s">
        <v>158</v>
      </c>
      <c r="C1076" s="38" t="s">
        <v>64</v>
      </c>
      <c r="D1076" s="39">
        <v>0</v>
      </c>
      <c r="E1076" s="39">
        <v>6</v>
      </c>
      <c r="F1076" s="18">
        <f t="shared" si="32"/>
        <v>149</v>
      </c>
      <c r="G1076" s="18">
        <f t="shared" si="33"/>
        <v>143</v>
      </c>
    </row>
    <row r="1077" spans="1:7" x14ac:dyDescent="0.35">
      <c r="A1077" s="21">
        <v>8</v>
      </c>
      <c r="B1077" s="38" t="s">
        <v>158</v>
      </c>
      <c r="C1077" s="38" t="s">
        <v>64</v>
      </c>
      <c r="D1077" s="39">
        <v>0</v>
      </c>
      <c r="E1077" s="39">
        <v>7</v>
      </c>
      <c r="F1077" s="18">
        <f t="shared" si="32"/>
        <v>143</v>
      </c>
      <c r="G1077" s="18">
        <f t="shared" si="33"/>
        <v>136</v>
      </c>
    </row>
    <row r="1078" spans="1:7" x14ac:dyDescent="0.35">
      <c r="A1078" s="21">
        <v>9</v>
      </c>
      <c r="B1078" s="38" t="s">
        <v>158</v>
      </c>
      <c r="C1078" s="38" t="s">
        <v>64</v>
      </c>
      <c r="D1078" s="39">
        <v>0</v>
      </c>
      <c r="E1078" s="39">
        <v>6</v>
      </c>
      <c r="F1078" s="18">
        <f t="shared" si="32"/>
        <v>136</v>
      </c>
      <c r="G1078" s="18">
        <f t="shared" si="33"/>
        <v>130</v>
      </c>
    </row>
    <row r="1079" spans="1:7" x14ac:dyDescent="0.35">
      <c r="A1079" s="21">
        <v>10</v>
      </c>
      <c r="B1079" s="38" t="s">
        <v>158</v>
      </c>
      <c r="C1079" s="38" t="s">
        <v>64</v>
      </c>
      <c r="D1079" s="39">
        <v>0</v>
      </c>
      <c r="E1079" s="39">
        <v>6</v>
      </c>
      <c r="F1079" s="18">
        <f t="shared" si="32"/>
        <v>130</v>
      </c>
      <c r="G1079" s="18">
        <f t="shared" si="33"/>
        <v>124</v>
      </c>
    </row>
    <row r="1080" spans="1:7" x14ac:dyDescent="0.35">
      <c r="A1080" s="21">
        <v>11</v>
      </c>
      <c r="B1080" s="38" t="s">
        <v>158</v>
      </c>
      <c r="C1080" s="38" t="s">
        <v>64</v>
      </c>
      <c r="D1080" s="39">
        <v>0</v>
      </c>
      <c r="E1080" s="39">
        <v>5</v>
      </c>
      <c r="F1080" s="18">
        <f t="shared" si="32"/>
        <v>124</v>
      </c>
      <c r="G1080" s="18">
        <f t="shared" si="33"/>
        <v>119</v>
      </c>
    </row>
    <row r="1081" spans="1:7" x14ac:dyDescent="0.35">
      <c r="A1081" s="21">
        <v>12</v>
      </c>
      <c r="B1081" s="38" t="s">
        <v>158</v>
      </c>
      <c r="C1081" s="38" t="s">
        <v>64</v>
      </c>
      <c r="D1081" s="39">
        <v>0</v>
      </c>
      <c r="E1081" s="39">
        <v>3</v>
      </c>
      <c r="F1081" s="18">
        <f t="shared" si="32"/>
        <v>119</v>
      </c>
      <c r="G1081" s="18">
        <f t="shared" si="33"/>
        <v>116</v>
      </c>
    </row>
    <row r="1082" spans="1:7" x14ac:dyDescent="0.35">
      <c r="A1082" s="21">
        <v>1</v>
      </c>
      <c r="B1082" s="38" t="s">
        <v>158</v>
      </c>
      <c r="C1082" s="38" t="s">
        <v>66</v>
      </c>
      <c r="D1082" s="39">
        <v>135</v>
      </c>
      <c r="E1082" s="39">
        <v>8</v>
      </c>
      <c r="F1082" s="18">
        <f t="shared" si="32"/>
        <v>0</v>
      </c>
      <c r="G1082" s="18">
        <f t="shared" si="33"/>
        <v>127</v>
      </c>
    </row>
    <row r="1083" spans="1:7" x14ac:dyDescent="0.35">
      <c r="A1083" s="21">
        <v>2</v>
      </c>
      <c r="B1083" s="38" t="s">
        <v>158</v>
      </c>
      <c r="C1083" s="38" t="s">
        <v>66</v>
      </c>
      <c r="D1083" s="39">
        <v>0</v>
      </c>
      <c r="E1083" s="39">
        <v>8</v>
      </c>
      <c r="F1083" s="18">
        <f t="shared" si="32"/>
        <v>127</v>
      </c>
      <c r="G1083" s="18">
        <f t="shared" si="33"/>
        <v>119</v>
      </c>
    </row>
    <row r="1084" spans="1:7" x14ac:dyDescent="0.35">
      <c r="A1084" s="21">
        <v>3</v>
      </c>
      <c r="B1084" s="38" t="s">
        <v>158</v>
      </c>
      <c r="C1084" s="38" t="s">
        <v>66</v>
      </c>
      <c r="D1084" s="39">
        <v>0</v>
      </c>
      <c r="E1084" s="39">
        <v>5</v>
      </c>
      <c r="F1084" s="18">
        <f t="shared" si="32"/>
        <v>119</v>
      </c>
      <c r="G1084" s="18">
        <f t="shared" si="33"/>
        <v>114</v>
      </c>
    </row>
    <row r="1085" spans="1:7" x14ac:dyDescent="0.35">
      <c r="A1085" s="21">
        <v>4</v>
      </c>
      <c r="B1085" s="38" t="s">
        <v>158</v>
      </c>
      <c r="C1085" s="38" t="s">
        <v>66</v>
      </c>
      <c r="D1085" s="39">
        <v>0</v>
      </c>
      <c r="E1085" s="39">
        <v>8</v>
      </c>
      <c r="F1085" s="18">
        <f t="shared" si="32"/>
        <v>114</v>
      </c>
      <c r="G1085" s="18">
        <f t="shared" si="33"/>
        <v>106</v>
      </c>
    </row>
    <row r="1086" spans="1:7" x14ac:dyDescent="0.35">
      <c r="A1086" s="21">
        <v>5</v>
      </c>
      <c r="B1086" s="38" t="s">
        <v>158</v>
      </c>
      <c r="C1086" s="38" t="s">
        <v>66</v>
      </c>
      <c r="D1086" s="39">
        <v>0</v>
      </c>
      <c r="E1086" s="39">
        <v>5</v>
      </c>
      <c r="F1086" s="18">
        <f t="shared" si="32"/>
        <v>106</v>
      </c>
      <c r="G1086" s="18">
        <f t="shared" si="33"/>
        <v>101</v>
      </c>
    </row>
    <row r="1087" spans="1:7" x14ac:dyDescent="0.35">
      <c r="A1087" s="21">
        <v>6</v>
      </c>
      <c r="B1087" s="38" t="s">
        <v>158</v>
      </c>
      <c r="C1087" s="38" t="s">
        <v>66</v>
      </c>
      <c r="D1087" s="39">
        <v>0</v>
      </c>
      <c r="E1087" s="39">
        <v>4</v>
      </c>
      <c r="F1087" s="18">
        <f t="shared" si="32"/>
        <v>101</v>
      </c>
      <c r="G1087" s="18">
        <f t="shared" si="33"/>
        <v>97</v>
      </c>
    </row>
    <row r="1088" spans="1:7" x14ac:dyDescent="0.35">
      <c r="A1088" s="21">
        <v>7</v>
      </c>
      <c r="B1088" s="38" t="s">
        <v>158</v>
      </c>
      <c r="C1088" s="38" t="s">
        <v>66</v>
      </c>
      <c r="D1088" s="39">
        <v>0</v>
      </c>
      <c r="E1088" s="39">
        <v>4</v>
      </c>
      <c r="F1088" s="18">
        <f t="shared" si="32"/>
        <v>97</v>
      </c>
      <c r="G1088" s="18">
        <f t="shared" si="33"/>
        <v>93</v>
      </c>
    </row>
    <row r="1089" spans="1:7" x14ac:dyDescent="0.35">
      <c r="A1089" s="21">
        <v>8</v>
      </c>
      <c r="B1089" s="38" t="s">
        <v>158</v>
      </c>
      <c r="C1089" s="38" t="s">
        <v>66</v>
      </c>
      <c r="D1089" s="39">
        <v>0</v>
      </c>
      <c r="E1089" s="39">
        <v>3</v>
      </c>
      <c r="F1089" s="18">
        <f t="shared" si="32"/>
        <v>93</v>
      </c>
      <c r="G1089" s="18">
        <f t="shared" si="33"/>
        <v>90</v>
      </c>
    </row>
    <row r="1090" spans="1:7" x14ac:dyDescent="0.35">
      <c r="A1090" s="21">
        <v>9</v>
      </c>
      <c r="B1090" s="38" t="s">
        <v>158</v>
      </c>
      <c r="C1090" s="38" t="s">
        <v>66</v>
      </c>
      <c r="D1090" s="39">
        <v>0</v>
      </c>
      <c r="E1090" s="39">
        <v>3</v>
      </c>
      <c r="F1090" s="18">
        <f t="shared" ref="F1090:F1153" si="34">IF(A1090=1,0,G1089)</f>
        <v>90</v>
      </c>
      <c r="G1090" s="18">
        <f t="shared" ref="G1090:G1153" si="35">F1090+D1090-E1090</f>
        <v>87</v>
      </c>
    </row>
    <row r="1091" spans="1:7" x14ac:dyDescent="0.35">
      <c r="A1091" s="21">
        <v>10</v>
      </c>
      <c r="B1091" s="38" t="s">
        <v>158</v>
      </c>
      <c r="C1091" s="38" t="s">
        <v>66</v>
      </c>
      <c r="D1091" s="39">
        <v>0</v>
      </c>
      <c r="E1091" s="39">
        <v>3</v>
      </c>
      <c r="F1091" s="18">
        <f t="shared" si="34"/>
        <v>87</v>
      </c>
      <c r="G1091" s="18">
        <f t="shared" si="35"/>
        <v>84</v>
      </c>
    </row>
    <row r="1092" spans="1:7" x14ac:dyDescent="0.35">
      <c r="A1092" s="21">
        <v>11</v>
      </c>
      <c r="B1092" s="38" t="s">
        <v>158</v>
      </c>
      <c r="C1092" s="38" t="s">
        <v>66</v>
      </c>
      <c r="D1092" s="39">
        <v>0</v>
      </c>
      <c r="E1092" s="39">
        <v>3</v>
      </c>
      <c r="F1092" s="18">
        <f t="shared" si="34"/>
        <v>84</v>
      </c>
      <c r="G1092" s="18">
        <f t="shared" si="35"/>
        <v>81</v>
      </c>
    </row>
    <row r="1093" spans="1:7" x14ac:dyDescent="0.35">
      <c r="A1093" s="21">
        <v>12</v>
      </c>
      <c r="B1093" s="38" t="s">
        <v>158</v>
      </c>
      <c r="C1093" s="38" t="s">
        <v>66</v>
      </c>
      <c r="D1093" s="39">
        <v>0</v>
      </c>
      <c r="E1093" s="39">
        <v>3</v>
      </c>
      <c r="F1093" s="18">
        <f t="shared" si="34"/>
        <v>81</v>
      </c>
      <c r="G1093" s="18">
        <f t="shared" si="35"/>
        <v>78</v>
      </c>
    </row>
    <row r="1094" spans="1:7" x14ac:dyDescent="0.35">
      <c r="A1094" s="21">
        <v>1</v>
      </c>
      <c r="B1094" s="38" t="s">
        <v>158</v>
      </c>
      <c r="C1094" s="38" t="s">
        <v>68</v>
      </c>
      <c r="D1094" s="39">
        <v>163</v>
      </c>
      <c r="E1094" s="39">
        <v>13</v>
      </c>
      <c r="F1094" s="18">
        <f t="shared" si="34"/>
        <v>0</v>
      </c>
      <c r="G1094" s="18">
        <f t="shared" si="35"/>
        <v>150</v>
      </c>
    </row>
    <row r="1095" spans="1:7" x14ac:dyDescent="0.35">
      <c r="A1095" s="21">
        <v>2</v>
      </c>
      <c r="B1095" s="38" t="s">
        <v>158</v>
      </c>
      <c r="C1095" s="38" t="s">
        <v>68</v>
      </c>
      <c r="D1095" s="39">
        <v>0</v>
      </c>
      <c r="E1095" s="39">
        <v>10</v>
      </c>
      <c r="F1095" s="18">
        <f t="shared" si="34"/>
        <v>150</v>
      </c>
      <c r="G1095" s="18">
        <f t="shared" si="35"/>
        <v>140</v>
      </c>
    </row>
    <row r="1096" spans="1:7" x14ac:dyDescent="0.35">
      <c r="A1096" s="21">
        <v>3</v>
      </c>
      <c r="B1096" s="38" t="s">
        <v>158</v>
      </c>
      <c r="C1096" s="38" t="s">
        <v>68</v>
      </c>
      <c r="D1096" s="39">
        <v>0</v>
      </c>
      <c r="E1096" s="39">
        <v>10</v>
      </c>
      <c r="F1096" s="18">
        <f t="shared" si="34"/>
        <v>140</v>
      </c>
      <c r="G1096" s="18">
        <f t="shared" si="35"/>
        <v>130</v>
      </c>
    </row>
    <row r="1097" spans="1:7" x14ac:dyDescent="0.35">
      <c r="A1097" s="21">
        <v>4</v>
      </c>
      <c r="B1097" s="38" t="s">
        <v>158</v>
      </c>
      <c r="C1097" s="38" t="s">
        <v>68</v>
      </c>
      <c r="D1097" s="39">
        <v>0</v>
      </c>
      <c r="E1097" s="39">
        <v>9</v>
      </c>
      <c r="F1097" s="18">
        <f t="shared" si="34"/>
        <v>130</v>
      </c>
      <c r="G1097" s="18">
        <f t="shared" si="35"/>
        <v>121</v>
      </c>
    </row>
    <row r="1098" spans="1:7" x14ac:dyDescent="0.35">
      <c r="A1098" s="21">
        <v>5</v>
      </c>
      <c r="B1098" s="38" t="s">
        <v>158</v>
      </c>
      <c r="C1098" s="38" t="s">
        <v>68</v>
      </c>
      <c r="D1098" s="39">
        <v>0</v>
      </c>
      <c r="E1098" s="39">
        <v>7</v>
      </c>
      <c r="F1098" s="18">
        <f t="shared" si="34"/>
        <v>121</v>
      </c>
      <c r="G1098" s="18">
        <f t="shared" si="35"/>
        <v>114</v>
      </c>
    </row>
    <row r="1099" spans="1:7" x14ac:dyDescent="0.35">
      <c r="A1099" s="21">
        <v>6</v>
      </c>
      <c r="B1099" s="38" t="s">
        <v>158</v>
      </c>
      <c r="C1099" s="38" t="s">
        <v>68</v>
      </c>
      <c r="D1099" s="39">
        <v>0</v>
      </c>
      <c r="E1099" s="39">
        <v>8</v>
      </c>
      <c r="F1099" s="18">
        <f t="shared" si="34"/>
        <v>114</v>
      </c>
      <c r="G1099" s="18">
        <f t="shared" si="35"/>
        <v>106</v>
      </c>
    </row>
    <row r="1100" spans="1:7" x14ac:dyDescent="0.35">
      <c r="A1100" s="21">
        <v>7</v>
      </c>
      <c r="B1100" s="38" t="s">
        <v>158</v>
      </c>
      <c r="C1100" s="38" t="s">
        <v>68</v>
      </c>
      <c r="D1100" s="39">
        <v>0</v>
      </c>
      <c r="E1100" s="39">
        <v>5</v>
      </c>
      <c r="F1100" s="18">
        <f t="shared" si="34"/>
        <v>106</v>
      </c>
      <c r="G1100" s="18">
        <f t="shared" si="35"/>
        <v>101</v>
      </c>
    </row>
    <row r="1101" spans="1:7" x14ac:dyDescent="0.35">
      <c r="A1101" s="21">
        <v>8</v>
      </c>
      <c r="B1101" s="38" t="s">
        <v>158</v>
      </c>
      <c r="C1101" s="38" t="s">
        <v>68</v>
      </c>
      <c r="D1101" s="39">
        <v>0</v>
      </c>
      <c r="E1101" s="39">
        <v>4</v>
      </c>
      <c r="F1101" s="18">
        <f t="shared" si="34"/>
        <v>101</v>
      </c>
      <c r="G1101" s="18">
        <f t="shared" si="35"/>
        <v>97</v>
      </c>
    </row>
    <row r="1102" spans="1:7" x14ac:dyDescent="0.35">
      <c r="A1102" s="21">
        <v>9</v>
      </c>
      <c r="B1102" s="38" t="s">
        <v>158</v>
      </c>
      <c r="C1102" s="38" t="s">
        <v>68</v>
      </c>
      <c r="D1102" s="39">
        <v>0</v>
      </c>
      <c r="E1102" s="39">
        <v>5</v>
      </c>
      <c r="F1102" s="18">
        <f t="shared" si="34"/>
        <v>97</v>
      </c>
      <c r="G1102" s="18">
        <f t="shared" si="35"/>
        <v>92</v>
      </c>
    </row>
    <row r="1103" spans="1:7" x14ac:dyDescent="0.35">
      <c r="A1103" s="21">
        <v>10</v>
      </c>
      <c r="B1103" s="38" t="s">
        <v>158</v>
      </c>
      <c r="C1103" s="38" t="s">
        <v>68</v>
      </c>
      <c r="D1103" s="39">
        <v>0</v>
      </c>
      <c r="E1103" s="39">
        <v>5</v>
      </c>
      <c r="F1103" s="18">
        <f t="shared" si="34"/>
        <v>92</v>
      </c>
      <c r="G1103" s="18">
        <f t="shared" si="35"/>
        <v>87</v>
      </c>
    </row>
    <row r="1104" spans="1:7" x14ac:dyDescent="0.35">
      <c r="A1104" s="21">
        <v>11</v>
      </c>
      <c r="B1104" s="38" t="s">
        <v>158</v>
      </c>
      <c r="C1104" s="38" t="s">
        <v>68</v>
      </c>
      <c r="D1104" s="39">
        <v>0</v>
      </c>
      <c r="E1104" s="39">
        <v>3</v>
      </c>
      <c r="F1104" s="18">
        <f t="shared" si="34"/>
        <v>87</v>
      </c>
      <c r="G1104" s="18">
        <f t="shared" si="35"/>
        <v>84</v>
      </c>
    </row>
    <row r="1105" spans="1:7" x14ac:dyDescent="0.35">
      <c r="A1105" s="21">
        <v>12</v>
      </c>
      <c r="B1105" s="38" t="s">
        <v>158</v>
      </c>
      <c r="C1105" s="38" t="s">
        <v>68</v>
      </c>
      <c r="D1105" s="39">
        <v>0</v>
      </c>
      <c r="E1105" s="39">
        <v>3</v>
      </c>
      <c r="F1105" s="18">
        <f t="shared" si="34"/>
        <v>84</v>
      </c>
      <c r="G1105" s="18">
        <f t="shared" si="35"/>
        <v>81</v>
      </c>
    </row>
    <row r="1106" spans="1:7" x14ac:dyDescent="0.35">
      <c r="A1106" s="21">
        <v>1</v>
      </c>
      <c r="B1106" s="38" t="s">
        <v>161</v>
      </c>
      <c r="C1106" s="38" t="s">
        <v>62</v>
      </c>
      <c r="D1106" s="39">
        <v>222</v>
      </c>
      <c r="E1106" s="39">
        <v>19</v>
      </c>
      <c r="F1106" s="18">
        <f t="shared" si="34"/>
        <v>0</v>
      </c>
      <c r="G1106" s="18">
        <f t="shared" si="35"/>
        <v>203</v>
      </c>
    </row>
    <row r="1107" spans="1:7" x14ac:dyDescent="0.35">
      <c r="A1107" s="21">
        <v>2</v>
      </c>
      <c r="B1107" s="38" t="s">
        <v>161</v>
      </c>
      <c r="C1107" s="38" t="s">
        <v>62</v>
      </c>
      <c r="D1107" s="39">
        <v>0</v>
      </c>
      <c r="E1107" s="39">
        <v>13</v>
      </c>
      <c r="F1107" s="18">
        <f t="shared" si="34"/>
        <v>203</v>
      </c>
      <c r="G1107" s="18">
        <f t="shared" si="35"/>
        <v>190</v>
      </c>
    </row>
    <row r="1108" spans="1:7" x14ac:dyDescent="0.35">
      <c r="A1108" s="21">
        <v>3</v>
      </c>
      <c r="B1108" s="38" t="s">
        <v>161</v>
      </c>
      <c r="C1108" s="38" t="s">
        <v>62</v>
      </c>
      <c r="D1108" s="39">
        <v>0</v>
      </c>
      <c r="E1108" s="39">
        <v>13</v>
      </c>
      <c r="F1108" s="18">
        <f t="shared" si="34"/>
        <v>190</v>
      </c>
      <c r="G1108" s="18">
        <f t="shared" si="35"/>
        <v>177</v>
      </c>
    </row>
    <row r="1109" spans="1:7" x14ac:dyDescent="0.35">
      <c r="A1109" s="21">
        <v>4</v>
      </c>
      <c r="B1109" s="38" t="s">
        <v>161</v>
      </c>
      <c r="C1109" s="38" t="s">
        <v>62</v>
      </c>
      <c r="D1109" s="39">
        <v>0</v>
      </c>
      <c r="E1109" s="39">
        <v>9</v>
      </c>
      <c r="F1109" s="18">
        <f t="shared" si="34"/>
        <v>177</v>
      </c>
      <c r="G1109" s="18">
        <f t="shared" si="35"/>
        <v>168</v>
      </c>
    </row>
    <row r="1110" spans="1:7" x14ac:dyDescent="0.35">
      <c r="A1110" s="21">
        <v>5</v>
      </c>
      <c r="B1110" s="38" t="s">
        <v>161</v>
      </c>
      <c r="C1110" s="38" t="s">
        <v>62</v>
      </c>
      <c r="D1110" s="39">
        <v>0</v>
      </c>
      <c r="E1110" s="39">
        <v>12</v>
      </c>
      <c r="F1110" s="18">
        <f t="shared" si="34"/>
        <v>168</v>
      </c>
      <c r="G1110" s="18">
        <f t="shared" si="35"/>
        <v>156</v>
      </c>
    </row>
    <row r="1111" spans="1:7" x14ac:dyDescent="0.35">
      <c r="A1111" s="21">
        <v>6</v>
      </c>
      <c r="B1111" s="38" t="s">
        <v>161</v>
      </c>
      <c r="C1111" s="38" t="s">
        <v>62</v>
      </c>
      <c r="D1111" s="39">
        <v>0</v>
      </c>
      <c r="E1111" s="39">
        <v>8</v>
      </c>
      <c r="F1111" s="18">
        <f t="shared" si="34"/>
        <v>156</v>
      </c>
      <c r="G1111" s="18">
        <f t="shared" si="35"/>
        <v>148</v>
      </c>
    </row>
    <row r="1112" spans="1:7" x14ac:dyDescent="0.35">
      <c r="A1112" s="21">
        <v>7</v>
      </c>
      <c r="B1112" s="38" t="s">
        <v>161</v>
      </c>
      <c r="C1112" s="38" t="s">
        <v>62</v>
      </c>
      <c r="D1112" s="39">
        <v>0</v>
      </c>
      <c r="E1112" s="39">
        <v>8</v>
      </c>
      <c r="F1112" s="18">
        <f t="shared" si="34"/>
        <v>148</v>
      </c>
      <c r="G1112" s="18">
        <f t="shared" si="35"/>
        <v>140</v>
      </c>
    </row>
    <row r="1113" spans="1:7" x14ac:dyDescent="0.35">
      <c r="A1113" s="21">
        <v>8</v>
      </c>
      <c r="B1113" s="38" t="s">
        <v>161</v>
      </c>
      <c r="C1113" s="38" t="s">
        <v>62</v>
      </c>
      <c r="D1113" s="39">
        <v>0</v>
      </c>
      <c r="E1113" s="39">
        <v>6</v>
      </c>
      <c r="F1113" s="18">
        <f t="shared" si="34"/>
        <v>140</v>
      </c>
      <c r="G1113" s="18">
        <f t="shared" si="35"/>
        <v>134</v>
      </c>
    </row>
    <row r="1114" spans="1:7" x14ac:dyDescent="0.35">
      <c r="A1114" s="21">
        <v>9</v>
      </c>
      <c r="B1114" s="38" t="s">
        <v>161</v>
      </c>
      <c r="C1114" s="38" t="s">
        <v>62</v>
      </c>
      <c r="D1114" s="39">
        <v>0</v>
      </c>
      <c r="E1114" s="39">
        <v>6</v>
      </c>
      <c r="F1114" s="18">
        <f t="shared" si="34"/>
        <v>134</v>
      </c>
      <c r="G1114" s="18">
        <f t="shared" si="35"/>
        <v>128</v>
      </c>
    </row>
    <row r="1115" spans="1:7" x14ac:dyDescent="0.35">
      <c r="A1115" s="21">
        <v>10</v>
      </c>
      <c r="B1115" s="38" t="s">
        <v>161</v>
      </c>
      <c r="C1115" s="38" t="s">
        <v>62</v>
      </c>
      <c r="D1115" s="39">
        <v>0</v>
      </c>
      <c r="E1115" s="39">
        <v>6</v>
      </c>
      <c r="F1115" s="18">
        <f t="shared" si="34"/>
        <v>128</v>
      </c>
      <c r="G1115" s="18">
        <f t="shared" si="35"/>
        <v>122</v>
      </c>
    </row>
    <row r="1116" spans="1:7" x14ac:dyDescent="0.35">
      <c r="A1116" s="21">
        <v>11</v>
      </c>
      <c r="B1116" s="38" t="s">
        <v>161</v>
      </c>
      <c r="C1116" s="38" t="s">
        <v>62</v>
      </c>
      <c r="D1116" s="39">
        <v>0</v>
      </c>
      <c r="E1116" s="39">
        <v>5</v>
      </c>
      <c r="F1116" s="18">
        <f t="shared" si="34"/>
        <v>122</v>
      </c>
      <c r="G1116" s="18">
        <f t="shared" si="35"/>
        <v>117</v>
      </c>
    </row>
    <row r="1117" spans="1:7" x14ac:dyDescent="0.35">
      <c r="A1117" s="21">
        <v>12</v>
      </c>
      <c r="B1117" s="38" t="s">
        <v>161</v>
      </c>
      <c r="C1117" s="38" t="s">
        <v>62</v>
      </c>
      <c r="D1117" s="39">
        <v>0</v>
      </c>
      <c r="E1117" s="39">
        <v>5</v>
      </c>
      <c r="F1117" s="18">
        <f t="shared" si="34"/>
        <v>117</v>
      </c>
      <c r="G1117" s="18">
        <f t="shared" si="35"/>
        <v>112</v>
      </c>
    </row>
    <row r="1118" spans="1:7" x14ac:dyDescent="0.35">
      <c r="A1118" s="21">
        <v>1</v>
      </c>
      <c r="B1118" s="38" t="s">
        <v>161</v>
      </c>
      <c r="C1118" s="38" t="s">
        <v>64</v>
      </c>
      <c r="D1118" s="39">
        <v>280</v>
      </c>
      <c r="E1118" s="39">
        <v>21</v>
      </c>
      <c r="F1118" s="18">
        <f t="shared" si="34"/>
        <v>0</v>
      </c>
      <c r="G1118" s="18">
        <f t="shared" si="35"/>
        <v>259</v>
      </c>
    </row>
    <row r="1119" spans="1:7" x14ac:dyDescent="0.35">
      <c r="A1119" s="21">
        <v>2</v>
      </c>
      <c r="B1119" s="38" t="s">
        <v>161</v>
      </c>
      <c r="C1119" s="38" t="s">
        <v>64</v>
      </c>
      <c r="D1119" s="39">
        <v>0</v>
      </c>
      <c r="E1119" s="39">
        <v>16</v>
      </c>
      <c r="F1119" s="18">
        <f t="shared" si="34"/>
        <v>259</v>
      </c>
      <c r="G1119" s="18">
        <f t="shared" si="35"/>
        <v>243</v>
      </c>
    </row>
    <row r="1120" spans="1:7" x14ac:dyDescent="0.35">
      <c r="A1120" s="21">
        <v>3</v>
      </c>
      <c r="B1120" s="38" t="s">
        <v>161</v>
      </c>
      <c r="C1120" s="38" t="s">
        <v>64</v>
      </c>
      <c r="D1120" s="39">
        <v>0</v>
      </c>
      <c r="E1120" s="39">
        <v>15</v>
      </c>
      <c r="F1120" s="18">
        <f t="shared" si="34"/>
        <v>243</v>
      </c>
      <c r="G1120" s="18">
        <f t="shared" si="35"/>
        <v>228</v>
      </c>
    </row>
    <row r="1121" spans="1:7" x14ac:dyDescent="0.35">
      <c r="A1121" s="21">
        <v>4</v>
      </c>
      <c r="B1121" s="38" t="s">
        <v>161</v>
      </c>
      <c r="C1121" s="38" t="s">
        <v>64</v>
      </c>
      <c r="D1121" s="39">
        <v>0</v>
      </c>
      <c r="E1121" s="39">
        <v>13</v>
      </c>
      <c r="F1121" s="18">
        <f t="shared" si="34"/>
        <v>228</v>
      </c>
      <c r="G1121" s="18">
        <f t="shared" si="35"/>
        <v>215</v>
      </c>
    </row>
    <row r="1122" spans="1:7" x14ac:dyDescent="0.35">
      <c r="A1122" s="21">
        <v>5</v>
      </c>
      <c r="B1122" s="38" t="s">
        <v>161</v>
      </c>
      <c r="C1122" s="38" t="s">
        <v>64</v>
      </c>
      <c r="D1122" s="39">
        <v>0</v>
      </c>
      <c r="E1122" s="39">
        <v>10</v>
      </c>
      <c r="F1122" s="18">
        <f t="shared" si="34"/>
        <v>215</v>
      </c>
      <c r="G1122" s="18">
        <f t="shared" si="35"/>
        <v>205</v>
      </c>
    </row>
    <row r="1123" spans="1:7" x14ac:dyDescent="0.35">
      <c r="A1123" s="21">
        <v>6</v>
      </c>
      <c r="B1123" s="38" t="s">
        <v>161</v>
      </c>
      <c r="C1123" s="38" t="s">
        <v>64</v>
      </c>
      <c r="D1123" s="39">
        <v>0</v>
      </c>
      <c r="E1123" s="39">
        <v>8</v>
      </c>
      <c r="F1123" s="18">
        <f t="shared" si="34"/>
        <v>205</v>
      </c>
      <c r="G1123" s="18">
        <f t="shared" si="35"/>
        <v>197</v>
      </c>
    </row>
    <row r="1124" spans="1:7" x14ac:dyDescent="0.35">
      <c r="A1124" s="21">
        <v>7</v>
      </c>
      <c r="B1124" s="38" t="s">
        <v>161</v>
      </c>
      <c r="C1124" s="38" t="s">
        <v>64</v>
      </c>
      <c r="D1124" s="39">
        <v>0</v>
      </c>
      <c r="E1124" s="39">
        <v>11</v>
      </c>
      <c r="F1124" s="18">
        <f t="shared" si="34"/>
        <v>197</v>
      </c>
      <c r="G1124" s="18">
        <f t="shared" si="35"/>
        <v>186</v>
      </c>
    </row>
    <row r="1125" spans="1:7" x14ac:dyDescent="0.35">
      <c r="A1125" s="21">
        <v>8</v>
      </c>
      <c r="B1125" s="38" t="s">
        <v>161</v>
      </c>
      <c r="C1125" s="38" t="s">
        <v>64</v>
      </c>
      <c r="D1125" s="39">
        <v>0</v>
      </c>
      <c r="E1125" s="39">
        <v>10</v>
      </c>
      <c r="F1125" s="18">
        <f t="shared" si="34"/>
        <v>186</v>
      </c>
      <c r="G1125" s="18">
        <f t="shared" si="35"/>
        <v>176</v>
      </c>
    </row>
    <row r="1126" spans="1:7" x14ac:dyDescent="0.35">
      <c r="A1126" s="21">
        <v>9</v>
      </c>
      <c r="B1126" s="38" t="s">
        <v>161</v>
      </c>
      <c r="C1126" s="38" t="s">
        <v>64</v>
      </c>
      <c r="D1126" s="39">
        <v>0</v>
      </c>
      <c r="E1126" s="39">
        <v>9</v>
      </c>
      <c r="F1126" s="18">
        <f t="shared" si="34"/>
        <v>176</v>
      </c>
      <c r="G1126" s="18">
        <f t="shared" si="35"/>
        <v>167</v>
      </c>
    </row>
    <row r="1127" spans="1:7" x14ac:dyDescent="0.35">
      <c r="A1127" s="21">
        <v>10</v>
      </c>
      <c r="B1127" s="38" t="s">
        <v>161</v>
      </c>
      <c r="C1127" s="38" t="s">
        <v>64</v>
      </c>
      <c r="D1127" s="39">
        <v>0</v>
      </c>
      <c r="E1127" s="39">
        <v>5</v>
      </c>
      <c r="F1127" s="18">
        <f t="shared" si="34"/>
        <v>167</v>
      </c>
      <c r="G1127" s="18">
        <f t="shared" si="35"/>
        <v>162</v>
      </c>
    </row>
    <row r="1128" spans="1:7" x14ac:dyDescent="0.35">
      <c r="A1128" s="21">
        <v>11</v>
      </c>
      <c r="B1128" s="38" t="s">
        <v>161</v>
      </c>
      <c r="C1128" s="38" t="s">
        <v>64</v>
      </c>
      <c r="D1128" s="39">
        <v>0</v>
      </c>
      <c r="E1128" s="39">
        <v>6</v>
      </c>
      <c r="F1128" s="18">
        <f t="shared" si="34"/>
        <v>162</v>
      </c>
      <c r="G1128" s="18">
        <f t="shared" si="35"/>
        <v>156</v>
      </c>
    </row>
    <row r="1129" spans="1:7" x14ac:dyDescent="0.35">
      <c r="A1129" s="21">
        <v>12</v>
      </c>
      <c r="B1129" s="38" t="s">
        <v>161</v>
      </c>
      <c r="C1129" s="38" t="s">
        <v>64</v>
      </c>
      <c r="D1129" s="39">
        <v>0</v>
      </c>
      <c r="E1129" s="39">
        <v>5</v>
      </c>
      <c r="F1129" s="18">
        <f t="shared" si="34"/>
        <v>156</v>
      </c>
      <c r="G1129" s="18">
        <f t="shared" si="35"/>
        <v>151</v>
      </c>
    </row>
    <row r="1130" spans="1:7" x14ac:dyDescent="0.35">
      <c r="A1130" s="21">
        <v>1</v>
      </c>
      <c r="B1130" s="38" t="s">
        <v>161</v>
      </c>
      <c r="C1130" s="38" t="s">
        <v>66</v>
      </c>
      <c r="D1130" s="39">
        <v>189</v>
      </c>
      <c r="E1130" s="39">
        <v>15</v>
      </c>
      <c r="F1130" s="18">
        <f t="shared" si="34"/>
        <v>0</v>
      </c>
      <c r="G1130" s="18">
        <f t="shared" si="35"/>
        <v>174</v>
      </c>
    </row>
    <row r="1131" spans="1:7" x14ac:dyDescent="0.35">
      <c r="A1131" s="21">
        <v>2</v>
      </c>
      <c r="B1131" s="38" t="s">
        <v>161</v>
      </c>
      <c r="C1131" s="38" t="s">
        <v>66</v>
      </c>
      <c r="D1131" s="39">
        <v>0</v>
      </c>
      <c r="E1131" s="39">
        <v>9</v>
      </c>
      <c r="F1131" s="18">
        <f t="shared" si="34"/>
        <v>174</v>
      </c>
      <c r="G1131" s="18">
        <f t="shared" si="35"/>
        <v>165</v>
      </c>
    </row>
    <row r="1132" spans="1:7" x14ac:dyDescent="0.35">
      <c r="A1132" s="21">
        <v>3</v>
      </c>
      <c r="B1132" s="38" t="s">
        <v>161</v>
      </c>
      <c r="C1132" s="38" t="s">
        <v>66</v>
      </c>
      <c r="D1132" s="39">
        <v>0</v>
      </c>
      <c r="E1132" s="39">
        <v>11</v>
      </c>
      <c r="F1132" s="18">
        <f t="shared" si="34"/>
        <v>165</v>
      </c>
      <c r="G1132" s="18">
        <f t="shared" si="35"/>
        <v>154</v>
      </c>
    </row>
    <row r="1133" spans="1:7" x14ac:dyDescent="0.35">
      <c r="A1133" s="21">
        <v>4</v>
      </c>
      <c r="B1133" s="38" t="s">
        <v>161</v>
      </c>
      <c r="C1133" s="38" t="s">
        <v>66</v>
      </c>
      <c r="D1133" s="39">
        <v>0</v>
      </c>
      <c r="E1133" s="39">
        <v>7</v>
      </c>
      <c r="F1133" s="18">
        <f t="shared" si="34"/>
        <v>154</v>
      </c>
      <c r="G1133" s="18">
        <f t="shared" si="35"/>
        <v>147</v>
      </c>
    </row>
    <row r="1134" spans="1:7" x14ac:dyDescent="0.35">
      <c r="A1134" s="21">
        <v>5</v>
      </c>
      <c r="B1134" s="38" t="s">
        <v>161</v>
      </c>
      <c r="C1134" s="38" t="s">
        <v>66</v>
      </c>
      <c r="D1134" s="39">
        <v>0</v>
      </c>
      <c r="E1134" s="39">
        <v>7</v>
      </c>
      <c r="F1134" s="18">
        <f t="shared" si="34"/>
        <v>147</v>
      </c>
      <c r="G1134" s="18">
        <f t="shared" si="35"/>
        <v>140</v>
      </c>
    </row>
    <row r="1135" spans="1:7" x14ac:dyDescent="0.35">
      <c r="A1135" s="21">
        <v>6</v>
      </c>
      <c r="B1135" s="38" t="s">
        <v>161</v>
      </c>
      <c r="C1135" s="38" t="s">
        <v>66</v>
      </c>
      <c r="D1135" s="39">
        <v>0</v>
      </c>
      <c r="E1135" s="39">
        <v>5</v>
      </c>
      <c r="F1135" s="18">
        <f t="shared" si="34"/>
        <v>140</v>
      </c>
      <c r="G1135" s="18">
        <f t="shared" si="35"/>
        <v>135</v>
      </c>
    </row>
    <row r="1136" spans="1:7" x14ac:dyDescent="0.35">
      <c r="A1136" s="21">
        <v>7</v>
      </c>
      <c r="B1136" s="38" t="s">
        <v>161</v>
      </c>
      <c r="C1136" s="38" t="s">
        <v>66</v>
      </c>
      <c r="D1136" s="39">
        <v>0</v>
      </c>
      <c r="E1136" s="39">
        <v>5</v>
      </c>
      <c r="F1136" s="18">
        <f t="shared" si="34"/>
        <v>135</v>
      </c>
      <c r="G1136" s="18">
        <f t="shared" si="35"/>
        <v>130</v>
      </c>
    </row>
    <row r="1137" spans="1:7" x14ac:dyDescent="0.35">
      <c r="A1137" s="21">
        <v>8</v>
      </c>
      <c r="B1137" s="38" t="s">
        <v>161</v>
      </c>
      <c r="C1137" s="38" t="s">
        <v>66</v>
      </c>
      <c r="D1137" s="39">
        <v>0</v>
      </c>
      <c r="E1137" s="39">
        <v>6</v>
      </c>
      <c r="F1137" s="18">
        <f t="shared" si="34"/>
        <v>130</v>
      </c>
      <c r="G1137" s="18">
        <f t="shared" si="35"/>
        <v>124</v>
      </c>
    </row>
    <row r="1138" spans="1:7" x14ac:dyDescent="0.35">
      <c r="A1138" s="21">
        <v>9</v>
      </c>
      <c r="B1138" s="38" t="s">
        <v>161</v>
      </c>
      <c r="C1138" s="38" t="s">
        <v>66</v>
      </c>
      <c r="D1138" s="39">
        <v>0</v>
      </c>
      <c r="E1138" s="39">
        <v>6</v>
      </c>
      <c r="F1138" s="18">
        <f t="shared" si="34"/>
        <v>124</v>
      </c>
      <c r="G1138" s="18">
        <f t="shared" si="35"/>
        <v>118</v>
      </c>
    </row>
    <row r="1139" spans="1:7" x14ac:dyDescent="0.35">
      <c r="A1139" s="21">
        <v>10</v>
      </c>
      <c r="B1139" s="38" t="s">
        <v>161</v>
      </c>
      <c r="C1139" s="38" t="s">
        <v>66</v>
      </c>
      <c r="D1139" s="39">
        <v>0</v>
      </c>
      <c r="E1139" s="39">
        <v>4</v>
      </c>
      <c r="F1139" s="18">
        <f t="shared" si="34"/>
        <v>118</v>
      </c>
      <c r="G1139" s="18">
        <f t="shared" si="35"/>
        <v>114</v>
      </c>
    </row>
    <row r="1140" spans="1:7" x14ac:dyDescent="0.35">
      <c r="A1140" s="21">
        <v>11</v>
      </c>
      <c r="B1140" s="38" t="s">
        <v>161</v>
      </c>
      <c r="C1140" s="38" t="s">
        <v>66</v>
      </c>
      <c r="D1140" s="39">
        <v>0</v>
      </c>
      <c r="E1140" s="39">
        <v>4</v>
      </c>
      <c r="F1140" s="18">
        <f t="shared" si="34"/>
        <v>114</v>
      </c>
      <c r="G1140" s="18">
        <f t="shared" si="35"/>
        <v>110</v>
      </c>
    </row>
    <row r="1141" spans="1:7" x14ac:dyDescent="0.35">
      <c r="A1141" s="21">
        <v>12</v>
      </c>
      <c r="B1141" s="38" t="s">
        <v>161</v>
      </c>
      <c r="C1141" s="38" t="s">
        <v>66</v>
      </c>
      <c r="D1141" s="39">
        <v>0</v>
      </c>
      <c r="E1141" s="39">
        <v>4</v>
      </c>
      <c r="F1141" s="18">
        <f t="shared" si="34"/>
        <v>110</v>
      </c>
      <c r="G1141" s="18">
        <f t="shared" si="35"/>
        <v>106</v>
      </c>
    </row>
    <row r="1142" spans="1:7" x14ac:dyDescent="0.35">
      <c r="A1142" s="21">
        <v>1</v>
      </c>
      <c r="B1142" s="38" t="s">
        <v>161</v>
      </c>
      <c r="C1142" s="38" t="s">
        <v>68</v>
      </c>
      <c r="D1142" s="39">
        <v>265</v>
      </c>
      <c r="E1142" s="39">
        <v>18</v>
      </c>
      <c r="F1142" s="18">
        <f t="shared" si="34"/>
        <v>0</v>
      </c>
      <c r="G1142" s="18">
        <f t="shared" si="35"/>
        <v>247</v>
      </c>
    </row>
    <row r="1143" spans="1:7" x14ac:dyDescent="0.35">
      <c r="A1143" s="21">
        <v>2</v>
      </c>
      <c r="B1143" s="38" t="s">
        <v>161</v>
      </c>
      <c r="C1143" s="38" t="s">
        <v>68</v>
      </c>
      <c r="D1143" s="39">
        <v>0</v>
      </c>
      <c r="E1143" s="39">
        <v>13</v>
      </c>
      <c r="F1143" s="18">
        <f t="shared" si="34"/>
        <v>247</v>
      </c>
      <c r="G1143" s="18">
        <f t="shared" si="35"/>
        <v>234</v>
      </c>
    </row>
    <row r="1144" spans="1:7" x14ac:dyDescent="0.35">
      <c r="A1144" s="21">
        <v>3</v>
      </c>
      <c r="B1144" s="38" t="s">
        <v>161</v>
      </c>
      <c r="C1144" s="38" t="s">
        <v>68</v>
      </c>
      <c r="D1144" s="39">
        <v>0</v>
      </c>
      <c r="E1144" s="39">
        <v>14</v>
      </c>
      <c r="F1144" s="18">
        <f t="shared" si="34"/>
        <v>234</v>
      </c>
      <c r="G1144" s="18">
        <f t="shared" si="35"/>
        <v>220</v>
      </c>
    </row>
    <row r="1145" spans="1:7" x14ac:dyDescent="0.35">
      <c r="A1145" s="21">
        <v>4</v>
      </c>
      <c r="B1145" s="38" t="s">
        <v>161</v>
      </c>
      <c r="C1145" s="38" t="s">
        <v>68</v>
      </c>
      <c r="D1145" s="39">
        <v>0</v>
      </c>
      <c r="E1145" s="39">
        <v>11</v>
      </c>
      <c r="F1145" s="18">
        <f t="shared" si="34"/>
        <v>220</v>
      </c>
      <c r="G1145" s="18">
        <f t="shared" si="35"/>
        <v>209</v>
      </c>
    </row>
    <row r="1146" spans="1:7" x14ac:dyDescent="0.35">
      <c r="A1146" s="21">
        <v>5</v>
      </c>
      <c r="B1146" s="38" t="s">
        <v>161</v>
      </c>
      <c r="C1146" s="38" t="s">
        <v>68</v>
      </c>
      <c r="D1146" s="39">
        <v>0</v>
      </c>
      <c r="E1146" s="39">
        <v>14</v>
      </c>
      <c r="F1146" s="18">
        <f t="shared" si="34"/>
        <v>209</v>
      </c>
      <c r="G1146" s="18">
        <f t="shared" si="35"/>
        <v>195</v>
      </c>
    </row>
    <row r="1147" spans="1:7" x14ac:dyDescent="0.35">
      <c r="A1147" s="21">
        <v>6</v>
      </c>
      <c r="B1147" s="38" t="s">
        <v>161</v>
      </c>
      <c r="C1147" s="38" t="s">
        <v>68</v>
      </c>
      <c r="D1147" s="39">
        <v>0</v>
      </c>
      <c r="E1147" s="39">
        <v>9</v>
      </c>
      <c r="F1147" s="18">
        <f t="shared" si="34"/>
        <v>195</v>
      </c>
      <c r="G1147" s="18">
        <f t="shared" si="35"/>
        <v>186</v>
      </c>
    </row>
    <row r="1148" spans="1:7" x14ac:dyDescent="0.35">
      <c r="A1148" s="21">
        <v>7</v>
      </c>
      <c r="B1148" s="38" t="s">
        <v>161</v>
      </c>
      <c r="C1148" s="38" t="s">
        <v>68</v>
      </c>
      <c r="D1148" s="39">
        <v>0</v>
      </c>
      <c r="E1148" s="39">
        <v>9</v>
      </c>
      <c r="F1148" s="18">
        <f t="shared" si="34"/>
        <v>186</v>
      </c>
      <c r="G1148" s="18">
        <f t="shared" si="35"/>
        <v>177</v>
      </c>
    </row>
    <row r="1149" spans="1:7" x14ac:dyDescent="0.35">
      <c r="A1149" s="21">
        <v>8</v>
      </c>
      <c r="B1149" s="38" t="s">
        <v>161</v>
      </c>
      <c r="C1149" s="38" t="s">
        <v>68</v>
      </c>
      <c r="D1149" s="39">
        <v>0</v>
      </c>
      <c r="E1149" s="39">
        <v>5</v>
      </c>
      <c r="F1149" s="18">
        <f t="shared" si="34"/>
        <v>177</v>
      </c>
      <c r="G1149" s="18">
        <f t="shared" si="35"/>
        <v>172</v>
      </c>
    </row>
    <row r="1150" spans="1:7" x14ac:dyDescent="0.35">
      <c r="A1150" s="21">
        <v>9</v>
      </c>
      <c r="B1150" s="38" t="s">
        <v>161</v>
      </c>
      <c r="C1150" s="38" t="s">
        <v>68</v>
      </c>
      <c r="D1150" s="39">
        <v>0</v>
      </c>
      <c r="E1150" s="39">
        <v>6</v>
      </c>
      <c r="F1150" s="18">
        <f t="shared" si="34"/>
        <v>172</v>
      </c>
      <c r="G1150" s="18">
        <f t="shared" si="35"/>
        <v>166</v>
      </c>
    </row>
    <row r="1151" spans="1:7" x14ac:dyDescent="0.35">
      <c r="A1151" s="21">
        <v>10</v>
      </c>
      <c r="B1151" s="38" t="s">
        <v>161</v>
      </c>
      <c r="C1151" s="38" t="s">
        <v>68</v>
      </c>
      <c r="D1151" s="39">
        <v>0</v>
      </c>
      <c r="E1151" s="39">
        <v>7</v>
      </c>
      <c r="F1151" s="18">
        <f t="shared" si="34"/>
        <v>166</v>
      </c>
      <c r="G1151" s="18">
        <f t="shared" si="35"/>
        <v>159</v>
      </c>
    </row>
    <row r="1152" spans="1:7" x14ac:dyDescent="0.35">
      <c r="A1152" s="21">
        <v>11</v>
      </c>
      <c r="B1152" s="38" t="s">
        <v>161</v>
      </c>
      <c r="C1152" s="38" t="s">
        <v>68</v>
      </c>
      <c r="D1152" s="39">
        <v>0</v>
      </c>
      <c r="E1152" s="39">
        <v>6</v>
      </c>
      <c r="F1152" s="18">
        <f t="shared" si="34"/>
        <v>159</v>
      </c>
      <c r="G1152" s="18">
        <f t="shared" si="35"/>
        <v>153</v>
      </c>
    </row>
    <row r="1153" spans="1:7" x14ac:dyDescent="0.35">
      <c r="A1153" s="21">
        <v>12</v>
      </c>
      <c r="B1153" s="38" t="s">
        <v>161</v>
      </c>
      <c r="C1153" s="38" t="s">
        <v>68</v>
      </c>
      <c r="D1153" s="39">
        <v>0</v>
      </c>
      <c r="E1153" s="39">
        <v>5</v>
      </c>
      <c r="F1153" s="18">
        <f t="shared" si="34"/>
        <v>153</v>
      </c>
      <c r="G1153" s="18">
        <f t="shared" si="35"/>
        <v>148</v>
      </c>
    </row>
    <row r="1154" spans="1:7" x14ac:dyDescent="0.35">
      <c r="A1154" s="21">
        <v>1</v>
      </c>
      <c r="B1154" s="38" t="s">
        <v>163</v>
      </c>
      <c r="C1154" s="38" t="s">
        <v>62</v>
      </c>
      <c r="D1154" s="39">
        <v>230</v>
      </c>
      <c r="E1154" s="39">
        <v>13</v>
      </c>
      <c r="F1154" s="18">
        <f t="shared" ref="F1154:F1217" si="36">IF(A1154=1,0,G1153)</f>
        <v>0</v>
      </c>
      <c r="G1154" s="18">
        <f t="shared" ref="G1154:G1217" si="37">F1154+D1154-E1154</f>
        <v>217</v>
      </c>
    </row>
    <row r="1155" spans="1:7" x14ac:dyDescent="0.35">
      <c r="A1155" s="21">
        <v>2</v>
      </c>
      <c r="B1155" s="38" t="s">
        <v>163</v>
      </c>
      <c r="C1155" s="38" t="s">
        <v>62</v>
      </c>
      <c r="D1155" s="39">
        <v>0</v>
      </c>
      <c r="E1155" s="39">
        <v>13</v>
      </c>
      <c r="F1155" s="18">
        <f t="shared" si="36"/>
        <v>217</v>
      </c>
      <c r="G1155" s="18">
        <f t="shared" si="37"/>
        <v>204</v>
      </c>
    </row>
    <row r="1156" spans="1:7" x14ac:dyDescent="0.35">
      <c r="A1156" s="21">
        <v>3</v>
      </c>
      <c r="B1156" s="38" t="s">
        <v>163</v>
      </c>
      <c r="C1156" s="38" t="s">
        <v>62</v>
      </c>
      <c r="D1156" s="39">
        <v>0</v>
      </c>
      <c r="E1156" s="39">
        <v>12</v>
      </c>
      <c r="F1156" s="18">
        <f t="shared" si="36"/>
        <v>204</v>
      </c>
      <c r="G1156" s="18">
        <f t="shared" si="37"/>
        <v>192</v>
      </c>
    </row>
    <row r="1157" spans="1:7" x14ac:dyDescent="0.35">
      <c r="A1157" s="21">
        <v>4</v>
      </c>
      <c r="B1157" s="38" t="s">
        <v>163</v>
      </c>
      <c r="C1157" s="38" t="s">
        <v>62</v>
      </c>
      <c r="D1157" s="39">
        <v>0</v>
      </c>
      <c r="E1157" s="39">
        <v>11</v>
      </c>
      <c r="F1157" s="18">
        <f t="shared" si="36"/>
        <v>192</v>
      </c>
      <c r="G1157" s="18">
        <f t="shared" si="37"/>
        <v>181</v>
      </c>
    </row>
    <row r="1158" spans="1:7" x14ac:dyDescent="0.35">
      <c r="A1158" s="21">
        <v>5</v>
      </c>
      <c r="B1158" s="38" t="s">
        <v>163</v>
      </c>
      <c r="C1158" s="38" t="s">
        <v>62</v>
      </c>
      <c r="D1158" s="39">
        <v>0</v>
      </c>
      <c r="E1158" s="39">
        <v>8</v>
      </c>
      <c r="F1158" s="18">
        <f t="shared" si="36"/>
        <v>181</v>
      </c>
      <c r="G1158" s="18">
        <f t="shared" si="37"/>
        <v>173</v>
      </c>
    </row>
    <row r="1159" spans="1:7" x14ac:dyDescent="0.35">
      <c r="A1159" s="21">
        <v>6</v>
      </c>
      <c r="B1159" s="38" t="s">
        <v>163</v>
      </c>
      <c r="C1159" s="38" t="s">
        <v>62</v>
      </c>
      <c r="D1159" s="39">
        <v>0</v>
      </c>
      <c r="E1159" s="39">
        <v>7</v>
      </c>
      <c r="F1159" s="18">
        <f t="shared" si="36"/>
        <v>173</v>
      </c>
      <c r="G1159" s="18">
        <f t="shared" si="37"/>
        <v>166</v>
      </c>
    </row>
    <row r="1160" spans="1:7" x14ac:dyDescent="0.35">
      <c r="A1160" s="21">
        <v>7</v>
      </c>
      <c r="B1160" s="38" t="s">
        <v>163</v>
      </c>
      <c r="C1160" s="38" t="s">
        <v>62</v>
      </c>
      <c r="D1160" s="39">
        <v>0</v>
      </c>
      <c r="E1160" s="39">
        <v>9</v>
      </c>
      <c r="F1160" s="18">
        <f t="shared" si="36"/>
        <v>166</v>
      </c>
      <c r="G1160" s="18">
        <f t="shared" si="37"/>
        <v>157</v>
      </c>
    </row>
    <row r="1161" spans="1:7" x14ac:dyDescent="0.35">
      <c r="A1161" s="21">
        <v>8</v>
      </c>
      <c r="B1161" s="38" t="s">
        <v>163</v>
      </c>
      <c r="C1161" s="38" t="s">
        <v>62</v>
      </c>
      <c r="D1161" s="39">
        <v>0</v>
      </c>
      <c r="E1161" s="39">
        <v>8</v>
      </c>
      <c r="F1161" s="18">
        <f t="shared" si="36"/>
        <v>157</v>
      </c>
      <c r="G1161" s="18">
        <f t="shared" si="37"/>
        <v>149</v>
      </c>
    </row>
    <row r="1162" spans="1:7" x14ac:dyDescent="0.35">
      <c r="A1162" s="21">
        <v>9</v>
      </c>
      <c r="B1162" s="38" t="s">
        <v>163</v>
      </c>
      <c r="C1162" s="38" t="s">
        <v>62</v>
      </c>
      <c r="D1162" s="39">
        <v>0</v>
      </c>
      <c r="E1162" s="39">
        <v>7</v>
      </c>
      <c r="F1162" s="18">
        <f t="shared" si="36"/>
        <v>149</v>
      </c>
      <c r="G1162" s="18">
        <f t="shared" si="37"/>
        <v>142</v>
      </c>
    </row>
    <row r="1163" spans="1:7" x14ac:dyDescent="0.35">
      <c r="A1163" s="21">
        <v>10</v>
      </c>
      <c r="B1163" s="38" t="s">
        <v>163</v>
      </c>
      <c r="C1163" s="38" t="s">
        <v>62</v>
      </c>
      <c r="D1163" s="39">
        <v>0</v>
      </c>
      <c r="E1163" s="39">
        <v>7</v>
      </c>
      <c r="F1163" s="18">
        <f t="shared" si="36"/>
        <v>142</v>
      </c>
      <c r="G1163" s="18">
        <f t="shared" si="37"/>
        <v>135</v>
      </c>
    </row>
    <row r="1164" spans="1:7" x14ac:dyDescent="0.35">
      <c r="A1164" s="21">
        <v>11</v>
      </c>
      <c r="B1164" s="38" t="s">
        <v>163</v>
      </c>
      <c r="C1164" s="38" t="s">
        <v>62</v>
      </c>
      <c r="D1164" s="39">
        <v>0</v>
      </c>
      <c r="E1164" s="39">
        <v>6</v>
      </c>
      <c r="F1164" s="18">
        <f t="shared" si="36"/>
        <v>135</v>
      </c>
      <c r="G1164" s="18">
        <f t="shared" si="37"/>
        <v>129</v>
      </c>
    </row>
    <row r="1165" spans="1:7" x14ac:dyDescent="0.35">
      <c r="A1165" s="21">
        <v>12</v>
      </c>
      <c r="B1165" s="38" t="s">
        <v>163</v>
      </c>
      <c r="C1165" s="38" t="s">
        <v>62</v>
      </c>
      <c r="D1165" s="39">
        <v>0</v>
      </c>
      <c r="E1165" s="39">
        <v>5</v>
      </c>
      <c r="F1165" s="18">
        <f t="shared" si="36"/>
        <v>129</v>
      </c>
      <c r="G1165" s="18">
        <f t="shared" si="37"/>
        <v>124</v>
      </c>
    </row>
    <row r="1166" spans="1:7" x14ac:dyDescent="0.35">
      <c r="A1166" s="21">
        <v>1</v>
      </c>
      <c r="B1166" s="38" t="s">
        <v>163</v>
      </c>
      <c r="C1166" s="38" t="s">
        <v>64</v>
      </c>
      <c r="D1166" s="39">
        <v>305</v>
      </c>
      <c r="E1166" s="39">
        <v>19</v>
      </c>
      <c r="F1166" s="18">
        <f t="shared" si="36"/>
        <v>0</v>
      </c>
      <c r="G1166" s="18">
        <f t="shared" si="37"/>
        <v>286</v>
      </c>
    </row>
    <row r="1167" spans="1:7" x14ac:dyDescent="0.35">
      <c r="A1167" s="21">
        <v>2</v>
      </c>
      <c r="B1167" s="38" t="s">
        <v>163</v>
      </c>
      <c r="C1167" s="38" t="s">
        <v>64</v>
      </c>
      <c r="D1167" s="39">
        <v>0</v>
      </c>
      <c r="E1167" s="39">
        <v>17</v>
      </c>
      <c r="F1167" s="18">
        <f t="shared" si="36"/>
        <v>286</v>
      </c>
      <c r="G1167" s="18">
        <f t="shared" si="37"/>
        <v>269</v>
      </c>
    </row>
    <row r="1168" spans="1:7" x14ac:dyDescent="0.35">
      <c r="A1168" s="21">
        <v>3</v>
      </c>
      <c r="B1168" s="38" t="s">
        <v>163</v>
      </c>
      <c r="C1168" s="38" t="s">
        <v>64</v>
      </c>
      <c r="D1168" s="39">
        <v>0</v>
      </c>
      <c r="E1168" s="39">
        <v>13</v>
      </c>
      <c r="F1168" s="18">
        <f t="shared" si="36"/>
        <v>269</v>
      </c>
      <c r="G1168" s="18">
        <f t="shared" si="37"/>
        <v>256</v>
      </c>
    </row>
    <row r="1169" spans="1:7" x14ac:dyDescent="0.35">
      <c r="A1169" s="21">
        <v>4</v>
      </c>
      <c r="B1169" s="38" t="s">
        <v>163</v>
      </c>
      <c r="C1169" s="38" t="s">
        <v>64</v>
      </c>
      <c r="D1169" s="39">
        <v>0</v>
      </c>
      <c r="E1169" s="39">
        <v>15</v>
      </c>
      <c r="F1169" s="18">
        <f t="shared" si="36"/>
        <v>256</v>
      </c>
      <c r="G1169" s="18">
        <f t="shared" si="37"/>
        <v>241</v>
      </c>
    </row>
    <row r="1170" spans="1:7" x14ac:dyDescent="0.35">
      <c r="A1170" s="21">
        <v>5</v>
      </c>
      <c r="B1170" s="38" t="s">
        <v>163</v>
      </c>
      <c r="C1170" s="38" t="s">
        <v>64</v>
      </c>
      <c r="D1170" s="39">
        <v>0</v>
      </c>
      <c r="E1170" s="39">
        <v>11</v>
      </c>
      <c r="F1170" s="18">
        <f t="shared" si="36"/>
        <v>241</v>
      </c>
      <c r="G1170" s="18">
        <f t="shared" si="37"/>
        <v>230</v>
      </c>
    </row>
    <row r="1171" spans="1:7" x14ac:dyDescent="0.35">
      <c r="A1171" s="21">
        <v>6</v>
      </c>
      <c r="B1171" s="38" t="s">
        <v>163</v>
      </c>
      <c r="C1171" s="38" t="s">
        <v>64</v>
      </c>
      <c r="D1171" s="39">
        <v>0</v>
      </c>
      <c r="E1171" s="39">
        <v>10</v>
      </c>
      <c r="F1171" s="18">
        <f t="shared" si="36"/>
        <v>230</v>
      </c>
      <c r="G1171" s="18">
        <f t="shared" si="37"/>
        <v>220</v>
      </c>
    </row>
    <row r="1172" spans="1:7" x14ac:dyDescent="0.35">
      <c r="A1172" s="21">
        <v>7</v>
      </c>
      <c r="B1172" s="38" t="s">
        <v>163</v>
      </c>
      <c r="C1172" s="38" t="s">
        <v>64</v>
      </c>
      <c r="D1172" s="39">
        <v>0</v>
      </c>
      <c r="E1172" s="39">
        <v>11</v>
      </c>
      <c r="F1172" s="18">
        <f t="shared" si="36"/>
        <v>220</v>
      </c>
      <c r="G1172" s="18">
        <f t="shared" si="37"/>
        <v>209</v>
      </c>
    </row>
    <row r="1173" spans="1:7" x14ac:dyDescent="0.35">
      <c r="A1173" s="21">
        <v>8</v>
      </c>
      <c r="B1173" s="38" t="s">
        <v>163</v>
      </c>
      <c r="C1173" s="38" t="s">
        <v>64</v>
      </c>
      <c r="D1173" s="39">
        <v>0</v>
      </c>
      <c r="E1173" s="39">
        <v>9</v>
      </c>
      <c r="F1173" s="18">
        <f t="shared" si="36"/>
        <v>209</v>
      </c>
      <c r="G1173" s="18">
        <f t="shared" si="37"/>
        <v>200</v>
      </c>
    </row>
    <row r="1174" spans="1:7" x14ac:dyDescent="0.35">
      <c r="A1174" s="21">
        <v>9</v>
      </c>
      <c r="B1174" s="38" t="s">
        <v>163</v>
      </c>
      <c r="C1174" s="38" t="s">
        <v>64</v>
      </c>
      <c r="D1174" s="39">
        <v>0</v>
      </c>
      <c r="E1174" s="39">
        <v>7</v>
      </c>
      <c r="F1174" s="18">
        <f t="shared" si="36"/>
        <v>200</v>
      </c>
      <c r="G1174" s="18">
        <f t="shared" si="37"/>
        <v>193</v>
      </c>
    </row>
    <row r="1175" spans="1:7" x14ac:dyDescent="0.35">
      <c r="A1175" s="21">
        <v>10</v>
      </c>
      <c r="B1175" s="38" t="s">
        <v>163</v>
      </c>
      <c r="C1175" s="38" t="s">
        <v>64</v>
      </c>
      <c r="D1175" s="39">
        <v>0</v>
      </c>
      <c r="E1175" s="39">
        <v>9</v>
      </c>
      <c r="F1175" s="18">
        <f t="shared" si="36"/>
        <v>193</v>
      </c>
      <c r="G1175" s="18">
        <f t="shared" si="37"/>
        <v>184</v>
      </c>
    </row>
    <row r="1176" spans="1:7" x14ac:dyDescent="0.35">
      <c r="A1176" s="21">
        <v>11</v>
      </c>
      <c r="B1176" s="38" t="s">
        <v>163</v>
      </c>
      <c r="C1176" s="38" t="s">
        <v>64</v>
      </c>
      <c r="D1176" s="39">
        <v>0</v>
      </c>
      <c r="E1176" s="39">
        <v>8</v>
      </c>
      <c r="F1176" s="18">
        <f t="shared" si="36"/>
        <v>184</v>
      </c>
      <c r="G1176" s="18">
        <f t="shared" si="37"/>
        <v>176</v>
      </c>
    </row>
    <row r="1177" spans="1:7" x14ac:dyDescent="0.35">
      <c r="A1177" s="21">
        <v>12</v>
      </c>
      <c r="B1177" s="38" t="s">
        <v>163</v>
      </c>
      <c r="C1177" s="38" t="s">
        <v>64</v>
      </c>
      <c r="D1177" s="39">
        <v>0</v>
      </c>
      <c r="E1177" s="39">
        <v>5</v>
      </c>
      <c r="F1177" s="18">
        <f t="shared" si="36"/>
        <v>176</v>
      </c>
      <c r="G1177" s="18">
        <f t="shared" si="37"/>
        <v>171</v>
      </c>
    </row>
    <row r="1178" spans="1:7" x14ac:dyDescent="0.35">
      <c r="A1178" s="21">
        <v>1</v>
      </c>
      <c r="B1178" s="38" t="s">
        <v>163</v>
      </c>
      <c r="C1178" s="38" t="s">
        <v>66</v>
      </c>
      <c r="D1178" s="39">
        <v>165</v>
      </c>
      <c r="E1178" s="39">
        <v>11</v>
      </c>
      <c r="F1178" s="18">
        <f t="shared" si="36"/>
        <v>0</v>
      </c>
      <c r="G1178" s="18">
        <f t="shared" si="37"/>
        <v>154</v>
      </c>
    </row>
    <row r="1179" spans="1:7" x14ac:dyDescent="0.35">
      <c r="A1179" s="21">
        <v>2</v>
      </c>
      <c r="B1179" s="38" t="s">
        <v>163</v>
      </c>
      <c r="C1179" s="38" t="s">
        <v>66</v>
      </c>
      <c r="D1179" s="39">
        <v>0</v>
      </c>
      <c r="E1179" s="39">
        <v>13</v>
      </c>
      <c r="F1179" s="18">
        <f t="shared" si="36"/>
        <v>154</v>
      </c>
      <c r="G1179" s="18">
        <f t="shared" si="37"/>
        <v>141</v>
      </c>
    </row>
    <row r="1180" spans="1:7" x14ac:dyDescent="0.35">
      <c r="A1180" s="21">
        <v>3</v>
      </c>
      <c r="B1180" s="38" t="s">
        <v>163</v>
      </c>
      <c r="C1180" s="38" t="s">
        <v>66</v>
      </c>
      <c r="D1180" s="39">
        <v>0</v>
      </c>
      <c r="E1180" s="39">
        <v>12</v>
      </c>
      <c r="F1180" s="18">
        <f t="shared" si="36"/>
        <v>141</v>
      </c>
      <c r="G1180" s="18">
        <f t="shared" si="37"/>
        <v>129</v>
      </c>
    </row>
    <row r="1181" spans="1:7" x14ac:dyDescent="0.35">
      <c r="A1181" s="21">
        <v>4</v>
      </c>
      <c r="B1181" s="38" t="s">
        <v>163</v>
      </c>
      <c r="C1181" s="38" t="s">
        <v>66</v>
      </c>
      <c r="D1181" s="39">
        <v>0</v>
      </c>
      <c r="E1181" s="39">
        <v>7</v>
      </c>
      <c r="F1181" s="18">
        <f t="shared" si="36"/>
        <v>129</v>
      </c>
      <c r="G1181" s="18">
        <f t="shared" si="37"/>
        <v>122</v>
      </c>
    </row>
    <row r="1182" spans="1:7" x14ac:dyDescent="0.35">
      <c r="A1182" s="21">
        <v>5</v>
      </c>
      <c r="B1182" s="38" t="s">
        <v>163</v>
      </c>
      <c r="C1182" s="38" t="s">
        <v>66</v>
      </c>
      <c r="D1182" s="39">
        <v>0</v>
      </c>
      <c r="E1182" s="39">
        <v>9</v>
      </c>
      <c r="F1182" s="18">
        <f t="shared" si="36"/>
        <v>122</v>
      </c>
      <c r="G1182" s="18">
        <f t="shared" si="37"/>
        <v>113</v>
      </c>
    </row>
    <row r="1183" spans="1:7" x14ac:dyDescent="0.35">
      <c r="A1183" s="21">
        <v>6</v>
      </c>
      <c r="B1183" s="38" t="s">
        <v>163</v>
      </c>
      <c r="C1183" s="38" t="s">
        <v>66</v>
      </c>
      <c r="D1183" s="39">
        <v>0</v>
      </c>
      <c r="E1183" s="39">
        <v>5</v>
      </c>
      <c r="F1183" s="18">
        <f t="shared" si="36"/>
        <v>113</v>
      </c>
      <c r="G1183" s="18">
        <f t="shared" si="37"/>
        <v>108</v>
      </c>
    </row>
    <row r="1184" spans="1:7" x14ac:dyDescent="0.35">
      <c r="A1184" s="21">
        <v>7</v>
      </c>
      <c r="B1184" s="38" t="s">
        <v>163</v>
      </c>
      <c r="C1184" s="38" t="s">
        <v>66</v>
      </c>
      <c r="D1184" s="39">
        <v>0</v>
      </c>
      <c r="E1184" s="39">
        <v>6</v>
      </c>
      <c r="F1184" s="18">
        <f t="shared" si="36"/>
        <v>108</v>
      </c>
      <c r="G1184" s="18">
        <f t="shared" si="37"/>
        <v>102</v>
      </c>
    </row>
    <row r="1185" spans="1:7" x14ac:dyDescent="0.35">
      <c r="A1185" s="21">
        <v>8</v>
      </c>
      <c r="B1185" s="38" t="s">
        <v>163</v>
      </c>
      <c r="C1185" s="38" t="s">
        <v>66</v>
      </c>
      <c r="D1185" s="39">
        <v>0</v>
      </c>
      <c r="E1185" s="39">
        <v>7</v>
      </c>
      <c r="F1185" s="18">
        <f t="shared" si="36"/>
        <v>102</v>
      </c>
      <c r="G1185" s="18">
        <f t="shared" si="37"/>
        <v>95</v>
      </c>
    </row>
    <row r="1186" spans="1:7" x14ac:dyDescent="0.35">
      <c r="A1186" s="21">
        <v>9</v>
      </c>
      <c r="B1186" s="38" t="s">
        <v>163</v>
      </c>
      <c r="C1186" s="38" t="s">
        <v>66</v>
      </c>
      <c r="D1186" s="39">
        <v>0</v>
      </c>
      <c r="E1186" s="39">
        <v>4</v>
      </c>
      <c r="F1186" s="18">
        <f t="shared" si="36"/>
        <v>95</v>
      </c>
      <c r="G1186" s="18">
        <f t="shared" si="37"/>
        <v>91</v>
      </c>
    </row>
    <row r="1187" spans="1:7" x14ac:dyDescent="0.35">
      <c r="A1187" s="21">
        <v>10</v>
      </c>
      <c r="B1187" s="38" t="s">
        <v>163</v>
      </c>
      <c r="C1187" s="38" t="s">
        <v>66</v>
      </c>
      <c r="D1187" s="39">
        <v>0</v>
      </c>
      <c r="E1187" s="39">
        <v>4</v>
      </c>
      <c r="F1187" s="18">
        <f t="shared" si="36"/>
        <v>91</v>
      </c>
      <c r="G1187" s="18">
        <f t="shared" si="37"/>
        <v>87</v>
      </c>
    </row>
    <row r="1188" spans="1:7" x14ac:dyDescent="0.35">
      <c r="A1188" s="21">
        <v>11</v>
      </c>
      <c r="B1188" s="38" t="s">
        <v>163</v>
      </c>
      <c r="C1188" s="38" t="s">
        <v>66</v>
      </c>
      <c r="D1188" s="39">
        <v>0</v>
      </c>
      <c r="E1188" s="39">
        <v>4</v>
      </c>
      <c r="F1188" s="18">
        <f t="shared" si="36"/>
        <v>87</v>
      </c>
      <c r="G1188" s="18">
        <f t="shared" si="37"/>
        <v>83</v>
      </c>
    </row>
    <row r="1189" spans="1:7" x14ac:dyDescent="0.35">
      <c r="A1189" s="21">
        <v>12</v>
      </c>
      <c r="B1189" s="38" t="s">
        <v>163</v>
      </c>
      <c r="C1189" s="38" t="s">
        <v>66</v>
      </c>
      <c r="D1189" s="39">
        <v>0</v>
      </c>
      <c r="E1189" s="39">
        <v>4</v>
      </c>
      <c r="F1189" s="18">
        <f t="shared" si="36"/>
        <v>83</v>
      </c>
      <c r="G1189" s="18">
        <f t="shared" si="37"/>
        <v>79</v>
      </c>
    </row>
    <row r="1190" spans="1:7" x14ac:dyDescent="0.35">
      <c r="A1190" s="21">
        <v>1</v>
      </c>
      <c r="B1190" s="38" t="s">
        <v>163</v>
      </c>
      <c r="C1190" s="38" t="s">
        <v>68</v>
      </c>
      <c r="D1190" s="39">
        <v>268</v>
      </c>
      <c r="E1190" s="39">
        <v>22</v>
      </c>
      <c r="F1190" s="18">
        <f t="shared" si="36"/>
        <v>0</v>
      </c>
      <c r="G1190" s="18">
        <f t="shared" si="37"/>
        <v>246</v>
      </c>
    </row>
    <row r="1191" spans="1:7" x14ac:dyDescent="0.35">
      <c r="A1191" s="21">
        <v>2</v>
      </c>
      <c r="B1191" s="38" t="s">
        <v>163</v>
      </c>
      <c r="C1191" s="38" t="s">
        <v>68</v>
      </c>
      <c r="D1191" s="39">
        <v>0</v>
      </c>
      <c r="E1191" s="39">
        <v>11</v>
      </c>
      <c r="F1191" s="18">
        <f t="shared" si="36"/>
        <v>246</v>
      </c>
      <c r="G1191" s="18">
        <f t="shared" si="37"/>
        <v>235</v>
      </c>
    </row>
    <row r="1192" spans="1:7" x14ac:dyDescent="0.35">
      <c r="A1192" s="21">
        <v>3</v>
      </c>
      <c r="B1192" s="38" t="s">
        <v>163</v>
      </c>
      <c r="C1192" s="38" t="s">
        <v>68</v>
      </c>
      <c r="D1192" s="39">
        <v>0</v>
      </c>
      <c r="E1192" s="39">
        <v>11</v>
      </c>
      <c r="F1192" s="18">
        <f t="shared" si="36"/>
        <v>235</v>
      </c>
      <c r="G1192" s="18">
        <f t="shared" si="37"/>
        <v>224</v>
      </c>
    </row>
    <row r="1193" spans="1:7" x14ac:dyDescent="0.35">
      <c r="A1193" s="21">
        <v>4</v>
      </c>
      <c r="B1193" s="38" t="s">
        <v>163</v>
      </c>
      <c r="C1193" s="38" t="s">
        <v>68</v>
      </c>
      <c r="D1193" s="39">
        <v>0</v>
      </c>
      <c r="E1193" s="39">
        <v>14</v>
      </c>
      <c r="F1193" s="18">
        <f t="shared" si="36"/>
        <v>224</v>
      </c>
      <c r="G1193" s="18">
        <f t="shared" si="37"/>
        <v>210</v>
      </c>
    </row>
    <row r="1194" spans="1:7" x14ac:dyDescent="0.35">
      <c r="A1194" s="21">
        <v>5</v>
      </c>
      <c r="B1194" s="38" t="s">
        <v>163</v>
      </c>
      <c r="C1194" s="38" t="s">
        <v>68</v>
      </c>
      <c r="D1194" s="39">
        <v>0</v>
      </c>
      <c r="E1194" s="39">
        <v>9</v>
      </c>
      <c r="F1194" s="18">
        <f t="shared" si="36"/>
        <v>210</v>
      </c>
      <c r="G1194" s="18">
        <f t="shared" si="37"/>
        <v>201</v>
      </c>
    </row>
    <row r="1195" spans="1:7" x14ac:dyDescent="0.35">
      <c r="A1195" s="21">
        <v>6</v>
      </c>
      <c r="B1195" s="38" t="s">
        <v>163</v>
      </c>
      <c r="C1195" s="38" t="s">
        <v>68</v>
      </c>
      <c r="D1195" s="39">
        <v>0</v>
      </c>
      <c r="E1195" s="39">
        <v>12</v>
      </c>
      <c r="F1195" s="18">
        <f t="shared" si="36"/>
        <v>201</v>
      </c>
      <c r="G1195" s="18">
        <f t="shared" si="37"/>
        <v>189</v>
      </c>
    </row>
    <row r="1196" spans="1:7" x14ac:dyDescent="0.35">
      <c r="A1196" s="21">
        <v>7</v>
      </c>
      <c r="B1196" s="38" t="s">
        <v>163</v>
      </c>
      <c r="C1196" s="38" t="s">
        <v>68</v>
      </c>
      <c r="D1196" s="39">
        <v>0</v>
      </c>
      <c r="E1196" s="39">
        <v>9</v>
      </c>
      <c r="F1196" s="18">
        <f t="shared" si="36"/>
        <v>189</v>
      </c>
      <c r="G1196" s="18">
        <f t="shared" si="37"/>
        <v>180</v>
      </c>
    </row>
    <row r="1197" spans="1:7" x14ac:dyDescent="0.35">
      <c r="A1197" s="21">
        <v>8</v>
      </c>
      <c r="B1197" s="38" t="s">
        <v>163</v>
      </c>
      <c r="C1197" s="38" t="s">
        <v>68</v>
      </c>
      <c r="D1197" s="39">
        <v>0</v>
      </c>
      <c r="E1197" s="39">
        <v>6</v>
      </c>
      <c r="F1197" s="18">
        <f t="shared" si="36"/>
        <v>180</v>
      </c>
      <c r="G1197" s="18">
        <f t="shared" si="37"/>
        <v>174</v>
      </c>
    </row>
    <row r="1198" spans="1:7" x14ac:dyDescent="0.35">
      <c r="A1198" s="21">
        <v>9</v>
      </c>
      <c r="B1198" s="38" t="s">
        <v>163</v>
      </c>
      <c r="C1198" s="38" t="s">
        <v>68</v>
      </c>
      <c r="D1198" s="39">
        <v>0</v>
      </c>
      <c r="E1198" s="39">
        <v>8</v>
      </c>
      <c r="F1198" s="18">
        <f t="shared" si="36"/>
        <v>174</v>
      </c>
      <c r="G1198" s="18">
        <f t="shared" si="37"/>
        <v>166</v>
      </c>
    </row>
    <row r="1199" spans="1:7" x14ac:dyDescent="0.35">
      <c r="A1199" s="21">
        <v>10</v>
      </c>
      <c r="B1199" s="38" t="s">
        <v>163</v>
      </c>
      <c r="C1199" s="38" t="s">
        <v>68</v>
      </c>
      <c r="D1199" s="39">
        <v>0</v>
      </c>
      <c r="E1199" s="39">
        <v>5</v>
      </c>
      <c r="F1199" s="18">
        <f t="shared" si="36"/>
        <v>166</v>
      </c>
      <c r="G1199" s="18">
        <f t="shared" si="37"/>
        <v>161</v>
      </c>
    </row>
    <row r="1200" spans="1:7" x14ac:dyDescent="0.35">
      <c r="A1200" s="21">
        <v>11</v>
      </c>
      <c r="B1200" s="38" t="s">
        <v>163</v>
      </c>
      <c r="C1200" s="38" t="s">
        <v>68</v>
      </c>
      <c r="D1200" s="39">
        <v>0</v>
      </c>
      <c r="E1200" s="39">
        <v>5</v>
      </c>
      <c r="F1200" s="18">
        <f t="shared" si="36"/>
        <v>161</v>
      </c>
      <c r="G1200" s="18">
        <f t="shared" si="37"/>
        <v>156</v>
      </c>
    </row>
    <row r="1201" spans="1:7" x14ac:dyDescent="0.35">
      <c r="A1201" s="21">
        <v>12</v>
      </c>
      <c r="B1201" s="38" t="s">
        <v>163</v>
      </c>
      <c r="C1201" s="38" t="s">
        <v>68</v>
      </c>
      <c r="D1201" s="39">
        <v>0</v>
      </c>
      <c r="E1201" s="39">
        <v>5</v>
      </c>
      <c r="F1201" s="18">
        <f t="shared" si="36"/>
        <v>156</v>
      </c>
      <c r="G1201" s="18">
        <f t="shared" si="37"/>
        <v>151</v>
      </c>
    </row>
    <row r="1202" spans="1:7" x14ac:dyDescent="0.35">
      <c r="A1202" s="21">
        <v>1</v>
      </c>
      <c r="B1202" s="38" t="s">
        <v>165</v>
      </c>
      <c r="C1202" s="38" t="s">
        <v>62</v>
      </c>
      <c r="D1202" s="39">
        <v>151</v>
      </c>
      <c r="E1202" s="39">
        <v>10</v>
      </c>
      <c r="F1202" s="18">
        <f t="shared" si="36"/>
        <v>0</v>
      </c>
      <c r="G1202" s="18">
        <f t="shared" si="37"/>
        <v>141</v>
      </c>
    </row>
    <row r="1203" spans="1:7" x14ac:dyDescent="0.35">
      <c r="A1203" s="21">
        <v>2</v>
      </c>
      <c r="B1203" s="38" t="s">
        <v>165</v>
      </c>
      <c r="C1203" s="38" t="s">
        <v>62</v>
      </c>
      <c r="D1203" s="39">
        <v>0</v>
      </c>
      <c r="E1203" s="39">
        <v>12</v>
      </c>
      <c r="F1203" s="18">
        <f t="shared" si="36"/>
        <v>141</v>
      </c>
      <c r="G1203" s="18">
        <f t="shared" si="37"/>
        <v>129</v>
      </c>
    </row>
    <row r="1204" spans="1:7" x14ac:dyDescent="0.35">
      <c r="A1204" s="21">
        <v>3</v>
      </c>
      <c r="B1204" s="38" t="s">
        <v>165</v>
      </c>
      <c r="C1204" s="38" t="s">
        <v>62</v>
      </c>
      <c r="D1204" s="39">
        <v>0</v>
      </c>
      <c r="E1204" s="39">
        <v>12</v>
      </c>
      <c r="F1204" s="18">
        <f t="shared" si="36"/>
        <v>129</v>
      </c>
      <c r="G1204" s="18">
        <f t="shared" si="37"/>
        <v>117</v>
      </c>
    </row>
    <row r="1205" spans="1:7" x14ac:dyDescent="0.35">
      <c r="A1205" s="21">
        <v>4</v>
      </c>
      <c r="B1205" s="38" t="s">
        <v>165</v>
      </c>
      <c r="C1205" s="38" t="s">
        <v>62</v>
      </c>
      <c r="D1205" s="39">
        <v>0</v>
      </c>
      <c r="E1205" s="39">
        <v>9</v>
      </c>
      <c r="F1205" s="18">
        <f t="shared" si="36"/>
        <v>117</v>
      </c>
      <c r="G1205" s="18">
        <f t="shared" si="37"/>
        <v>108</v>
      </c>
    </row>
    <row r="1206" spans="1:7" x14ac:dyDescent="0.35">
      <c r="A1206" s="21">
        <v>5</v>
      </c>
      <c r="B1206" s="38" t="s">
        <v>165</v>
      </c>
      <c r="C1206" s="38" t="s">
        <v>62</v>
      </c>
      <c r="D1206" s="39">
        <v>0</v>
      </c>
      <c r="E1206" s="39">
        <v>7</v>
      </c>
      <c r="F1206" s="18">
        <f t="shared" si="36"/>
        <v>108</v>
      </c>
      <c r="G1206" s="18">
        <f t="shared" si="37"/>
        <v>101</v>
      </c>
    </row>
    <row r="1207" spans="1:7" x14ac:dyDescent="0.35">
      <c r="A1207" s="21">
        <v>6</v>
      </c>
      <c r="B1207" s="38" t="s">
        <v>165</v>
      </c>
      <c r="C1207" s="38" t="s">
        <v>62</v>
      </c>
      <c r="D1207" s="39">
        <v>0</v>
      </c>
      <c r="E1207" s="39">
        <v>10</v>
      </c>
      <c r="F1207" s="18">
        <f t="shared" si="36"/>
        <v>101</v>
      </c>
      <c r="G1207" s="18">
        <f t="shared" si="37"/>
        <v>91</v>
      </c>
    </row>
    <row r="1208" spans="1:7" x14ac:dyDescent="0.35">
      <c r="A1208" s="21">
        <v>7</v>
      </c>
      <c r="B1208" s="38" t="s">
        <v>165</v>
      </c>
      <c r="C1208" s="38" t="s">
        <v>62</v>
      </c>
      <c r="D1208" s="39">
        <v>0</v>
      </c>
      <c r="E1208" s="39">
        <v>12</v>
      </c>
      <c r="F1208" s="18">
        <f t="shared" si="36"/>
        <v>91</v>
      </c>
      <c r="G1208" s="18">
        <f t="shared" si="37"/>
        <v>79</v>
      </c>
    </row>
    <row r="1209" spans="1:7" x14ac:dyDescent="0.35">
      <c r="A1209" s="21">
        <v>8</v>
      </c>
      <c r="B1209" s="38" t="s">
        <v>165</v>
      </c>
      <c r="C1209" s="38" t="s">
        <v>62</v>
      </c>
      <c r="D1209" s="39">
        <v>0</v>
      </c>
      <c r="E1209" s="39">
        <v>8</v>
      </c>
      <c r="F1209" s="18">
        <f t="shared" si="36"/>
        <v>79</v>
      </c>
      <c r="G1209" s="18">
        <f t="shared" si="37"/>
        <v>71</v>
      </c>
    </row>
    <row r="1210" spans="1:7" x14ac:dyDescent="0.35">
      <c r="A1210" s="21">
        <v>9</v>
      </c>
      <c r="B1210" s="38" t="s">
        <v>165</v>
      </c>
      <c r="C1210" s="38" t="s">
        <v>62</v>
      </c>
      <c r="D1210" s="39">
        <v>0</v>
      </c>
      <c r="E1210" s="39">
        <v>9</v>
      </c>
      <c r="F1210" s="18">
        <f t="shared" si="36"/>
        <v>71</v>
      </c>
      <c r="G1210" s="18">
        <f t="shared" si="37"/>
        <v>62</v>
      </c>
    </row>
    <row r="1211" spans="1:7" x14ac:dyDescent="0.35">
      <c r="A1211" s="21">
        <v>10</v>
      </c>
      <c r="B1211" s="38" t="s">
        <v>165</v>
      </c>
      <c r="C1211" s="38" t="s">
        <v>62</v>
      </c>
      <c r="D1211" s="39">
        <v>0</v>
      </c>
      <c r="E1211" s="39">
        <v>9</v>
      </c>
      <c r="F1211" s="18">
        <f t="shared" si="36"/>
        <v>62</v>
      </c>
      <c r="G1211" s="18">
        <f t="shared" si="37"/>
        <v>53</v>
      </c>
    </row>
    <row r="1212" spans="1:7" x14ac:dyDescent="0.35">
      <c r="A1212" s="21">
        <v>11</v>
      </c>
      <c r="B1212" s="38" t="s">
        <v>165</v>
      </c>
      <c r="C1212" s="38" t="s">
        <v>62</v>
      </c>
      <c r="D1212" s="39">
        <v>0</v>
      </c>
      <c r="E1212" s="39">
        <v>7</v>
      </c>
      <c r="F1212" s="18">
        <f t="shared" si="36"/>
        <v>53</v>
      </c>
      <c r="G1212" s="18">
        <f t="shared" si="37"/>
        <v>46</v>
      </c>
    </row>
    <row r="1213" spans="1:7" x14ac:dyDescent="0.35">
      <c r="A1213" s="21">
        <v>12</v>
      </c>
      <c r="B1213" s="38" t="s">
        <v>165</v>
      </c>
      <c r="C1213" s="38" t="s">
        <v>62</v>
      </c>
      <c r="D1213" s="39">
        <v>0</v>
      </c>
      <c r="E1213" s="39">
        <v>10</v>
      </c>
      <c r="F1213" s="18">
        <f t="shared" si="36"/>
        <v>46</v>
      </c>
      <c r="G1213" s="18">
        <f t="shared" si="37"/>
        <v>36</v>
      </c>
    </row>
    <row r="1214" spans="1:7" x14ac:dyDescent="0.35">
      <c r="A1214" s="21">
        <v>1</v>
      </c>
      <c r="B1214" s="38" t="s">
        <v>165</v>
      </c>
      <c r="C1214" s="38" t="s">
        <v>64</v>
      </c>
      <c r="D1214" s="39">
        <v>191</v>
      </c>
      <c r="E1214" s="39">
        <v>14</v>
      </c>
      <c r="F1214" s="18">
        <f t="shared" si="36"/>
        <v>0</v>
      </c>
      <c r="G1214" s="18">
        <f t="shared" si="37"/>
        <v>177</v>
      </c>
    </row>
    <row r="1215" spans="1:7" x14ac:dyDescent="0.35">
      <c r="A1215" s="21">
        <v>2</v>
      </c>
      <c r="B1215" s="38" t="s">
        <v>165</v>
      </c>
      <c r="C1215" s="38" t="s">
        <v>64</v>
      </c>
      <c r="D1215" s="39">
        <v>0</v>
      </c>
      <c r="E1215" s="39">
        <v>15</v>
      </c>
      <c r="F1215" s="18">
        <f t="shared" si="36"/>
        <v>177</v>
      </c>
      <c r="G1215" s="18">
        <f t="shared" si="37"/>
        <v>162</v>
      </c>
    </row>
    <row r="1216" spans="1:7" x14ac:dyDescent="0.35">
      <c r="A1216" s="21">
        <v>3</v>
      </c>
      <c r="B1216" s="38" t="s">
        <v>165</v>
      </c>
      <c r="C1216" s="38" t="s">
        <v>64</v>
      </c>
      <c r="D1216" s="39">
        <v>0</v>
      </c>
      <c r="E1216" s="39">
        <v>14</v>
      </c>
      <c r="F1216" s="18">
        <f t="shared" si="36"/>
        <v>162</v>
      </c>
      <c r="G1216" s="18">
        <f t="shared" si="37"/>
        <v>148</v>
      </c>
    </row>
    <row r="1217" spans="1:7" x14ac:dyDescent="0.35">
      <c r="A1217" s="21">
        <v>4</v>
      </c>
      <c r="B1217" s="38" t="s">
        <v>165</v>
      </c>
      <c r="C1217" s="38" t="s">
        <v>64</v>
      </c>
      <c r="D1217" s="39">
        <v>0</v>
      </c>
      <c r="E1217" s="39">
        <v>12</v>
      </c>
      <c r="F1217" s="18">
        <f t="shared" si="36"/>
        <v>148</v>
      </c>
      <c r="G1217" s="18">
        <f t="shared" si="37"/>
        <v>136</v>
      </c>
    </row>
    <row r="1218" spans="1:7" x14ac:dyDescent="0.35">
      <c r="A1218" s="21">
        <v>5</v>
      </c>
      <c r="B1218" s="38" t="s">
        <v>165</v>
      </c>
      <c r="C1218" s="38" t="s">
        <v>64</v>
      </c>
      <c r="D1218" s="39">
        <v>0</v>
      </c>
      <c r="E1218" s="39">
        <v>11</v>
      </c>
      <c r="F1218" s="18">
        <f t="shared" ref="F1218:F1281" si="38">IF(A1218=1,0,G1217)</f>
        <v>136</v>
      </c>
      <c r="G1218" s="18">
        <f t="shared" ref="G1218:G1281" si="39">F1218+D1218-E1218</f>
        <v>125</v>
      </c>
    </row>
    <row r="1219" spans="1:7" x14ac:dyDescent="0.35">
      <c r="A1219" s="21">
        <v>6</v>
      </c>
      <c r="B1219" s="38" t="s">
        <v>165</v>
      </c>
      <c r="C1219" s="38" t="s">
        <v>64</v>
      </c>
      <c r="D1219" s="39">
        <v>0</v>
      </c>
      <c r="E1219" s="39">
        <v>14</v>
      </c>
      <c r="F1219" s="18">
        <f t="shared" si="38"/>
        <v>125</v>
      </c>
      <c r="G1219" s="18">
        <f t="shared" si="39"/>
        <v>111</v>
      </c>
    </row>
    <row r="1220" spans="1:7" x14ac:dyDescent="0.35">
      <c r="A1220" s="21">
        <v>7</v>
      </c>
      <c r="B1220" s="38" t="s">
        <v>165</v>
      </c>
      <c r="C1220" s="38" t="s">
        <v>64</v>
      </c>
      <c r="D1220" s="39">
        <v>0</v>
      </c>
      <c r="E1220" s="39">
        <v>14</v>
      </c>
      <c r="F1220" s="18">
        <f t="shared" si="38"/>
        <v>111</v>
      </c>
      <c r="G1220" s="18">
        <f t="shared" si="39"/>
        <v>97</v>
      </c>
    </row>
    <row r="1221" spans="1:7" x14ac:dyDescent="0.35">
      <c r="A1221" s="21">
        <v>8</v>
      </c>
      <c r="B1221" s="38" t="s">
        <v>165</v>
      </c>
      <c r="C1221" s="38" t="s">
        <v>64</v>
      </c>
      <c r="D1221" s="39">
        <v>0</v>
      </c>
      <c r="E1221" s="39">
        <v>12</v>
      </c>
      <c r="F1221" s="18">
        <f t="shared" si="38"/>
        <v>97</v>
      </c>
      <c r="G1221" s="18">
        <f t="shared" si="39"/>
        <v>85</v>
      </c>
    </row>
    <row r="1222" spans="1:7" x14ac:dyDescent="0.35">
      <c r="A1222" s="21">
        <v>9</v>
      </c>
      <c r="B1222" s="38" t="s">
        <v>165</v>
      </c>
      <c r="C1222" s="38" t="s">
        <v>64</v>
      </c>
      <c r="D1222" s="39">
        <v>0</v>
      </c>
      <c r="E1222" s="39">
        <v>15</v>
      </c>
      <c r="F1222" s="18">
        <f t="shared" si="38"/>
        <v>85</v>
      </c>
      <c r="G1222" s="18">
        <f t="shared" si="39"/>
        <v>70</v>
      </c>
    </row>
    <row r="1223" spans="1:7" x14ac:dyDescent="0.35">
      <c r="A1223" s="21">
        <v>10</v>
      </c>
      <c r="B1223" s="38" t="s">
        <v>165</v>
      </c>
      <c r="C1223" s="38" t="s">
        <v>64</v>
      </c>
      <c r="D1223" s="39">
        <v>0</v>
      </c>
      <c r="E1223" s="39">
        <v>10</v>
      </c>
      <c r="F1223" s="18">
        <f t="shared" si="38"/>
        <v>70</v>
      </c>
      <c r="G1223" s="18">
        <f t="shared" si="39"/>
        <v>60</v>
      </c>
    </row>
    <row r="1224" spans="1:7" x14ac:dyDescent="0.35">
      <c r="A1224" s="21">
        <v>11</v>
      </c>
      <c r="B1224" s="38" t="s">
        <v>165</v>
      </c>
      <c r="C1224" s="38" t="s">
        <v>64</v>
      </c>
      <c r="D1224" s="39">
        <v>0</v>
      </c>
      <c r="E1224" s="39">
        <v>15</v>
      </c>
      <c r="F1224" s="18">
        <f t="shared" si="38"/>
        <v>60</v>
      </c>
      <c r="G1224" s="18">
        <f t="shared" si="39"/>
        <v>45</v>
      </c>
    </row>
    <row r="1225" spans="1:7" x14ac:dyDescent="0.35">
      <c r="A1225" s="21">
        <v>12</v>
      </c>
      <c r="B1225" s="38" t="s">
        <v>165</v>
      </c>
      <c r="C1225" s="38" t="s">
        <v>64</v>
      </c>
      <c r="D1225" s="39">
        <v>0</v>
      </c>
      <c r="E1225" s="39">
        <v>9</v>
      </c>
      <c r="F1225" s="18">
        <f t="shared" si="38"/>
        <v>45</v>
      </c>
      <c r="G1225" s="18">
        <f t="shared" si="39"/>
        <v>36</v>
      </c>
    </row>
    <row r="1226" spans="1:7" x14ac:dyDescent="0.35">
      <c r="A1226" s="21">
        <v>1</v>
      </c>
      <c r="B1226" s="38" t="s">
        <v>165</v>
      </c>
      <c r="C1226" s="38" t="s">
        <v>66</v>
      </c>
      <c r="D1226" s="39">
        <v>115</v>
      </c>
      <c r="E1226" s="39">
        <v>8</v>
      </c>
      <c r="F1226" s="18">
        <f t="shared" si="38"/>
        <v>0</v>
      </c>
      <c r="G1226" s="18">
        <f t="shared" si="39"/>
        <v>107</v>
      </c>
    </row>
    <row r="1227" spans="1:7" x14ac:dyDescent="0.35">
      <c r="A1227" s="21">
        <v>2</v>
      </c>
      <c r="B1227" s="38" t="s">
        <v>165</v>
      </c>
      <c r="C1227" s="38" t="s">
        <v>66</v>
      </c>
      <c r="D1227" s="39">
        <v>0</v>
      </c>
      <c r="E1227" s="39">
        <v>6</v>
      </c>
      <c r="F1227" s="18">
        <f t="shared" si="38"/>
        <v>107</v>
      </c>
      <c r="G1227" s="18">
        <f t="shared" si="39"/>
        <v>101</v>
      </c>
    </row>
    <row r="1228" spans="1:7" x14ac:dyDescent="0.35">
      <c r="A1228" s="21">
        <v>3</v>
      </c>
      <c r="B1228" s="38" t="s">
        <v>165</v>
      </c>
      <c r="C1228" s="38" t="s">
        <v>66</v>
      </c>
      <c r="D1228" s="39">
        <v>0</v>
      </c>
      <c r="E1228" s="39">
        <v>6</v>
      </c>
      <c r="F1228" s="18">
        <f t="shared" si="38"/>
        <v>101</v>
      </c>
      <c r="G1228" s="18">
        <f t="shared" si="39"/>
        <v>95</v>
      </c>
    </row>
    <row r="1229" spans="1:7" x14ac:dyDescent="0.35">
      <c r="A1229" s="21">
        <v>4</v>
      </c>
      <c r="B1229" s="38" t="s">
        <v>165</v>
      </c>
      <c r="C1229" s="38" t="s">
        <v>66</v>
      </c>
      <c r="D1229" s="39">
        <v>0</v>
      </c>
      <c r="E1229" s="39">
        <v>5</v>
      </c>
      <c r="F1229" s="18">
        <f t="shared" si="38"/>
        <v>95</v>
      </c>
      <c r="G1229" s="18">
        <f t="shared" si="39"/>
        <v>90</v>
      </c>
    </row>
    <row r="1230" spans="1:7" x14ac:dyDescent="0.35">
      <c r="A1230" s="21">
        <v>5</v>
      </c>
      <c r="B1230" s="38" t="s">
        <v>165</v>
      </c>
      <c r="C1230" s="38" t="s">
        <v>66</v>
      </c>
      <c r="D1230" s="39">
        <v>0</v>
      </c>
      <c r="E1230" s="39">
        <v>7</v>
      </c>
      <c r="F1230" s="18">
        <f t="shared" si="38"/>
        <v>90</v>
      </c>
      <c r="G1230" s="18">
        <f t="shared" si="39"/>
        <v>83</v>
      </c>
    </row>
    <row r="1231" spans="1:7" x14ac:dyDescent="0.35">
      <c r="A1231" s="21">
        <v>6</v>
      </c>
      <c r="B1231" s="38" t="s">
        <v>165</v>
      </c>
      <c r="C1231" s="38" t="s">
        <v>66</v>
      </c>
      <c r="D1231" s="39">
        <v>0</v>
      </c>
      <c r="E1231" s="39">
        <v>9</v>
      </c>
      <c r="F1231" s="18">
        <f t="shared" si="38"/>
        <v>83</v>
      </c>
      <c r="G1231" s="18">
        <f t="shared" si="39"/>
        <v>74</v>
      </c>
    </row>
    <row r="1232" spans="1:7" x14ac:dyDescent="0.35">
      <c r="A1232" s="21">
        <v>7</v>
      </c>
      <c r="B1232" s="38" t="s">
        <v>165</v>
      </c>
      <c r="C1232" s="38" t="s">
        <v>66</v>
      </c>
      <c r="D1232" s="39">
        <v>0</v>
      </c>
      <c r="E1232" s="39">
        <v>6</v>
      </c>
      <c r="F1232" s="18">
        <f t="shared" si="38"/>
        <v>74</v>
      </c>
      <c r="G1232" s="18">
        <f t="shared" si="39"/>
        <v>68</v>
      </c>
    </row>
    <row r="1233" spans="1:7" x14ac:dyDescent="0.35">
      <c r="A1233" s="21">
        <v>8</v>
      </c>
      <c r="B1233" s="38" t="s">
        <v>165</v>
      </c>
      <c r="C1233" s="38" t="s">
        <v>66</v>
      </c>
      <c r="D1233" s="39">
        <v>0</v>
      </c>
      <c r="E1233" s="39">
        <v>8</v>
      </c>
      <c r="F1233" s="18">
        <f t="shared" si="38"/>
        <v>68</v>
      </c>
      <c r="G1233" s="18">
        <f t="shared" si="39"/>
        <v>60</v>
      </c>
    </row>
    <row r="1234" spans="1:7" x14ac:dyDescent="0.35">
      <c r="A1234" s="21">
        <v>9</v>
      </c>
      <c r="B1234" s="38" t="s">
        <v>165</v>
      </c>
      <c r="C1234" s="38" t="s">
        <v>66</v>
      </c>
      <c r="D1234" s="39">
        <v>0</v>
      </c>
      <c r="E1234" s="39">
        <v>9</v>
      </c>
      <c r="F1234" s="18">
        <f t="shared" si="38"/>
        <v>60</v>
      </c>
      <c r="G1234" s="18">
        <f t="shared" si="39"/>
        <v>51</v>
      </c>
    </row>
    <row r="1235" spans="1:7" x14ac:dyDescent="0.35">
      <c r="A1235" s="21">
        <v>10</v>
      </c>
      <c r="B1235" s="38" t="s">
        <v>165</v>
      </c>
      <c r="C1235" s="38" t="s">
        <v>66</v>
      </c>
      <c r="D1235" s="39">
        <v>0</v>
      </c>
      <c r="E1235" s="39">
        <v>6</v>
      </c>
      <c r="F1235" s="18">
        <f t="shared" si="38"/>
        <v>51</v>
      </c>
      <c r="G1235" s="18">
        <f t="shared" si="39"/>
        <v>45</v>
      </c>
    </row>
    <row r="1236" spans="1:7" x14ac:dyDescent="0.35">
      <c r="A1236" s="21">
        <v>11</v>
      </c>
      <c r="B1236" s="38" t="s">
        <v>165</v>
      </c>
      <c r="C1236" s="38" t="s">
        <v>66</v>
      </c>
      <c r="D1236" s="39">
        <v>0</v>
      </c>
      <c r="E1236" s="39">
        <v>6</v>
      </c>
      <c r="F1236" s="18">
        <f t="shared" si="38"/>
        <v>45</v>
      </c>
      <c r="G1236" s="18">
        <f t="shared" si="39"/>
        <v>39</v>
      </c>
    </row>
    <row r="1237" spans="1:7" x14ac:dyDescent="0.35">
      <c r="A1237" s="21">
        <v>12</v>
      </c>
      <c r="B1237" s="38" t="s">
        <v>165</v>
      </c>
      <c r="C1237" s="38" t="s">
        <v>66</v>
      </c>
      <c r="D1237" s="39">
        <v>0</v>
      </c>
      <c r="E1237" s="39">
        <v>9</v>
      </c>
      <c r="F1237" s="18">
        <f t="shared" si="38"/>
        <v>39</v>
      </c>
      <c r="G1237" s="18">
        <f t="shared" si="39"/>
        <v>30</v>
      </c>
    </row>
    <row r="1238" spans="1:7" x14ac:dyDescent="0.35">
      <c r="A1238" s="21">
        <v>1</v>
      </c>
      <c r="B1238" s="38" t="s">
        <v>165</v>
      </c>
      <c r="C1238" s="38" t="s">
        <v>68</v>
      </c>
      <c r="D1238" s="39">
        <v>179</v>
      </c>
      <c r="E1238" s="39">
        <v>11</v>
      </c>
      <c r="F1238" s="18">
        <f t="shared" si="38"/>
        <v>0</v>
      </c>
      <c r="G1238" s="18">
        <f t="shared" si="39"/>
        <v>168</v>
      </c>
    </row>
    <row r="1239" spans="1:7" x14ac:dyDescent="0.35">
      <c r="A1239" s="21">
        <v>2</v>
      </c>
      <c r="B1239" s="38" t="s">
        <v>165</v>
      </c>
      <c r="C1239" s="38" t="s">
        <v>68</v>
      </c>
      <c r="D1239" s="39">
        <v>0</v>
      </c>
      <c r="E1239" s="39">
        <v>12</v>
      </c>
      <c r="F1239" s="18">
        <f t="shared" si="38"/>
        <v>168</v>
      </c>
      <c r="G1239" s="18">
        <f t="shared" si="39"/>
        <v>156</v>
      </c>
    </row>
    <row r="1240" spans="1:7" x14ac:dyDescent="0.35">
      <c r="A1240" s="21">
        <v>3</v>
      </c>
      <c r="B1240" s="38" t="s">
        <v>165</v>
      </c>
      <c r="C1240" s="38" t="s">
        <v>68</v>
      </c>
      <c r="D1240" s="39">
        <v>0</v>
      </c>
      <c r="E1240" s="39">
        <v>8</v>
      </c>
      <c r="F1240" s="18">
        <f t="shared" si="38"/>
        <v>156</v>
      </c>
      <c r="G1240" s="18">
        <f t="shared" si="39"/>
        <v>148</v>
      </c>
    </row>
    <row r="1241" spans="1:7" x14ac:dyDescent="0.35">
      <c r="A1241" s="21">
        <v>4</v>
      </c>
      <c r="B1241" s="38" t="s">
        <v>165</v>
      </c>
      <c r="C1241" s="38" t="s">
        <v>68</v>
      </c>
      <c r="D1241" s="39">
        <v>0</v>
      </c>
      <c r="E1241" s="39">
        <v>10</v>
      </c>
      <c r="F1241" s="18">
        <f t="shared" si="38"/>
        <v>148</v>
      </c>
      <c r="G1241" s="18">
        <f t="shared" si="39"/>
        <v>138</v>
      </c>
    </row>
    <row r="1242" spans="1:7" x14ac:dyDescent="0.35">
      <c r="A1242" s="21">
        <v>5</v>
      </c>
      <c r="B1242" s="38" t="s">
        <v>165</v>
      </c>
      <c r="C1242" s="38" t="s">
        <v>68</v>
      </c>
      <c r="D1242" s="39">
        <v>0</v>
      </c>
      <c r="E1242" s="39">
        <v>12</v>
      </c>
      <c r="F1242" s="18">
        <f t="shared" si="38"/>
        <v>138</v>
      </c>
      <c r="G1242" s="18">
        <f t="shared" si="39"/>
        <v>126</v>
      </c>
    </row>
    <row r="1243" spans="1:7" x14ac:dyDescent="0.35">
      <c r="A1243" s="21">
        <v>6</v>
      </c>
      <c r="B1243" s="38" t="s">
        <v>165</v>
      </c>
      <c r="C1243" s="38" t="s">
        <v>68</v>
      </c>
      <c r="D1243" s="39">
        <v>0</v>
      </c>
      <c r="E1243" s="39">
        <v>9</v>
      </c>
      <c r="F1243" s="18">
        <f t="shared" si="38"/>
        <v>126</v>
      </c>
      <c r="G1243" s="18">
        <f t="shared" si="39"/>
        <v>117</v>
      </c>
    </row>
    <row r="1244" spans="1:7" x14ac:dyDescent="0.35">
      <c r="A1244" s="21">
        <v>7</v>
      </c>
      <c r="B1244" s="38" t="s">
        <v>165</v>
      </c>
      <c r="C1244" s="38" t="s">
        <v>68</v>
      </c>
      <c r="D1244" s="39">
        <v>0</v>
      </c>
      <c r="E1244" s="39">
        <v>12</v>
      </c>
      <c r="F1244" s="18">
        <f t="shared" si="38"/>
        <v>117</v>
      </c>
      <c r="G1244" s="18">
        <f t="shared" si="39"/>
        <v>105</v>
      </c>
    </row>
    <row r="1245" spans="1:7" x14ac:dyDescent="0.35">
      <c r="A1245" s="21">
        <v>8</v>
      </c>
      <c r="B1245" s="38" t="s">
        <v>165</v>
      </c>
      <c r="C1245" s="38" t="s">
        <v>68</v>
      </c>
      <c r="D1245" s="39">
        <v>0</v>
      </c>
      <c r="E1245" s="39">
        <v>10</v>
      </c>
      <c r="F1245" s="18">
        <f t="shared" si="38"/>
        <v>105</v>
      </c>
      <c r="G1245" s="18">
        <f t="shared" si="39"/>
        <v>95</v>
      </c>
    </row>
    <row r="1246" spans="1:7" x14ac:dyDescent="0.35">
      <c r="A1246" s="21">
        <v>9</v>
      </c>
      <c r="B1246" s="38" t="s">
        <v>165</v>
      </c>
      <c r="C1246" s="38" t="s">
        <v>68</v>
      </c>
      <c r="D1246" s="39">
        <v>0</v>
      </c>
      <c r="E1246" s="39">
        <v>12</v>
      </c>
      <c r="F1246" s="18">
        <f t="shared" si="38"/>
        <v>95</v>
      </c>
      <c r="G1246" s="18">
        <f t="shared" si="39"/>
        <v>83</v>
      </c>
    </row>
    <row r="1247" spans="1:7" x14ac:dyDescent="0.35">
      <c r="A1247" s="21">
        <v>10</v>
      </c>
      <c r="B1247" s="38" t="s">
        <v>165</v>
      </c>
      <c r="C1247" s="38" t="s">
        <v>68</v>
      </c>
      <c r="D1247" s="39">
        <v>0</v>
      </c>
      <c r="E1247" s="39">
        <v>10</v>
      </c>
      <c r="F1247" s="18">
        <f t="shared" si="38"/>
        <v>83</v>
      </c>
      <c r="G1247" s="18">
        <f t="shared" si="39"/>
        <v>73</v>
      </c>
    </row>
    <row r="1248" spans="1:7" x14ac:dyDescent="0.35">
      <c r="A1248" s="21">
        <v>11</v>
      </c>
      <c r="B1248" s="38" t="s">
        <v>165</v>
      </c>
      <c r="C1248" s="38" t="s">
        <v>68</v>
      </c>
      <c r="D1248" s="39">
        <v>0</v>
      </c>
      <c r="E1248" s="39">
        <v>10</v>
      </c>
      <c r="F1248" s="18">
        <f t="shared" si="38"/>
        <v>73</v>
      </c>
      <c r="G1248" s="18">
        <f t="shared" si="39"/>
        <v>63</v>
      </c>
    </row>
    <row r="1249" spans="1:7" x14ac:dyDescent="0.35">
      <c r="A1249" s="21">
        <v>12</v>
      </c>
      <c r="B1249" s="38" t="s">
        <v>165</v>
      </c>
      <c r="C1249" s="38" t="s">
        <v>68</v>
      </c>
      <c r="D1249" s="39">
        <v>0</v>
      </c>
      <c r="E1249" s="39">
        <v>9</v>
      </c>
      <c r="F1249" s="18">
        <f t="shared" si="38"/>
        <v>63</v>
      </c>
      <c r="G1249" s="18">
        <f t="shared" si="39"/>
        <v>54</v>
      </c>
    </row>
    <row r="1250" spans="1:7" x14ac:dyDescent="0.35">
      <c r="A1250" s="21">
        <v>1</v>
      </c>
      <c r="B1250" s="38" t="s">
        <v>168</v>
      </c>
      <c r="C1250" s="38" t="s">
        <v>62</v>
      </c>
      <c r="D1250" s="39">
        <v>131</v>
      </c>
      <c r="E1250" s="39">
        <v>6</v>
      </c>
      <c r="F1250" s="18">
        <f t="shared" si="38"/>
        <v>0</v>
      </c>
      <c r="G1250" s="18">
        <f t="shared" si="39"/>
        <v>125</v>
      </c>
    </row>
    <row r="1251" spans="1:7" x14ac:dyDescent="0.35">
      <c r="A1251" s="21">
        <v>2</v>
      </c>
      <c r="B1251" s="38" t="s">
        <v>168</v>
      </c>
      <c r="C1251" s="38" t="s">
        <v>62</v>
      </c>
      <c r="D1251" s="39">
        <v>0</v>
      </c>
      <c r="E1251" s="39">
        <v>6</v>
      </c>
      <c r="F1251" s="18">
        <f t="shared" si="38"/>
        <v>125</v>
      </c>
      <c r="G1251" s="18">
        <f t="shared" si="39"/>
        <v>119</v>
      </c>
    </row>
    <row r="1252" spans="1:7" x14ac:dyDescent="0.35">
      <c r="A1252" s="21">
        <v>3</v>
      </c>
      <c r="B1252" s="38" t="s">
        <v>168</v>
      </c>
      <c r="C1252" s="38" t="s">
        <v>62</v>
      </c>
      <c r="D1252" s="39">
        <v>0</v>
      </c>
      <c r="E1252" s="39">
        <v>6</v>
      </c>
      <c r="F1252" s="18">
        <f t="shared" si="38"/>
        <v>119</v>
      </c>
      <c r="G1252" s="18">
        <f t="shared" si="39"/>
        <v>113</v>
      </c>
    </row>
    <row r="1253" spans="1:7" x14ac:dyDescent="0.35">
      <c r="A1253" s="21">
        <v>4</v>
      </c>
      <c r="B1253" s="38" t="s">
        <v>168</v>
      </c>
      <c r="C1253" s="38" t="s">
        <v>62</v>
      </c>
      <c r="D1253" s="39">
        <v>0</v>
      </c>
      <c r="E1253" s="39">
        <v>6</v>
      </c>
      <c r="F1253" s="18">
        <f t="shared" si="38"/>
        <v>113</v>
      </c>
      <c r="G1253" s="18">
        <f t="shared" si="39"/>
        <v>107</v>
      </c>
    </row>
    <row r="1254" spans="1:7" x14ac:dyDescent="0.35">
      <c r="A1254" s="21">
        <v>5</v>
      </c>
      <c r="B1254" s="38" t="s">
        <v>168</v>
      </c>
      <c r="C1254" s="38" t="s">
        <v>62</v>
      </c>
      <c r="D1254" s="39">
        <v>0</v>
      </c>
      <c r="E1254" s="39">
        <v>9</v>
      </c>
      <c r="F1254" s="18">
        <f t="shared" si="38"/>
        <v>107</v>
      </c>
      <c r="G1254" s="18">
        <f t="shared" si="39"/>
        <v>98</v>
      </c>
    </row>
    <row r="1255" spans="1:7" x14ac:dyDescent="0.35">
      <c r="A1255" s="21">
        <v>6</v>
      </c>
      <c r="B1255" s="38" t="s">
        <v>168</v>
      </c>
      <c r="C1255" s="38" t="s">
        <v>62</v>
      </c>
      <c r="D1255" s="39">
        <v>0</v>
      </c>
      <c r="E1255" s="39">
        <v>7</v>
      </c>
      <c r="F1255" s="18">
        <f t="shared" si="38"/>
        <v>98</v>
      </c>
      <c r="G1255" s="18">
        <f t="shared" si="39"/>
        <v>91</v>
      </c>
    </row>
    <row r="1256" spans="1:7" x14ac:dyDescent="0.35">
      <c r="A1256" s="21">
        <v>7</v>
      </c>
      <c r="B1256" s="38" t="s">
        <v>168</v>
      </c>
      <c r="C1256" s="38" t="s">
        <v>62</v>
      </c>
      <c r="D1256" s="39">
        <v>0</v>
      </c>
      <c r="E1256" s="39">
        <v>10</v>
      </c>
      <c r="F1256" s="18">
        <f t="shared" si="38"/>
        <v>91</v>
      </c>
      <c r="G1256" s="18">
        <f t="shared" si="39"/>
        <v>81</v>
      </c>
    </row>
    <row r="1257" spans="1:7" x14ac:dyDescent="0.35">
      <c r="A1257" s="21">
        <v>8</v>
      </c>
      <c r="B1257" s="38" t="s">
        <v>168</v>
      </c>
      <c r="C1257" s="38" t="s">
        <v>62</v>
      </c>
      <c r="D1257" s="39">
        <v>0</v>
      </c>
      <c r="E1257" s="39">
        <v>6</v>
      </c>
      <c r="F1257" s="18">
        <f t="shared" si="38"/>
        <v>81</v>
      </c>
      <c r="G1257" s="18">
        <f t="shared" si="39"/>
        <v>75</v>
      </c>
    </row>
    <row r="1258" spans="1:7" x14ac:dyDescent="0.35">
      <c r="A1258" s="21">
        <v>9</v>
      </c>
      <c r="B1258" s="38" t="s">
        <v>168</v>
      </c>
      <c r="C1258" s="38" t="s">
        <v>62</v>
      </c>
      <c r="D1258" s="39">
        <v>0</v>
      </c>
      <c r="E1258" s="39">
        <v>8</v>
      </c>
      <c r="F1258" s="18">
        <f t="shared" si="38"/>
        <v>75</v>
      </c>
      <c r="G1258" s="18">
        <f t="shared" si="39"/>
        <v>67</v>
      </c>
    </row>
    <row r="1259" spans="1:7" x14ac:dyDescent="0.35">
      <c r="A1259" s="21">
        <v>10</v>
      </c>
      <c r="B1259" s="38" t="s">
        <v>168</v>
      </c>
      <c r="C1259" s="38" t="s">
        <v>62</v>
      </c>
      <c r="D1259" s="39">
        <v>0</v>
      </c>
      <c r="E1259" s="39">
        <v>7</v>
      </c>
      <c r="F1259" s="18">
        <f t="shared" si="38"/>
        <v>67</v>
      </c>
      <c r="G1259" s="18">
        <f t="shared" si="39"/>
        <v>60</v>
      </c>
    </row>
    <row r="1260" spans="1:7" x14ac:dyDescent="0.35">
      <c r="A1260" s="21">
        <v>11</v>
      </c>
      <c r="B1260" s="38" t="s">
        <v>168</v>
      </c>
      <c r="C1260" s="38" t="s">
        <v>62</v>
      </c>
      <c r="D1260" s="39">
        <v>0</v>
      </c>
      <c r="E1260" s="39">
        <v>7</v>
      </c>
      <c r="F1260" s="18">
        <f t="shared" si="38"/>
        <v>60</v>
      </c>
      <c r="G1260" s="18">
        <f t="shared" si="39"/>
        <v>53</v>
      </c>
    </row>
    <row r="1261" spans="1:7" x14ac:dyDescent="0.35">
      <c r="A1261" s="21">
        <v>12</v>
      </c>
      <c r="B1261" s="38" t="s">
        <v>168</v>
      </c>
      <c r="C1261" s="38" t="s">
        <v>62</v>
      </c>
      <c r="D1261" s="39">
        <v>0</v>
      </c>
      <c r="E1261" s="39">
        <v>9</v>
      </c>
      <c r="F1261" s="18">
        <f t="shared" si="38"/>
        <v>53</v>
      </c>
      <c r="G1261" s="18">
        <f t="shared" si="39"/>
        <v>44</v>
      </c>
    </row>
    <row r="1262" spans="1:7" x14ac:dyDescent="0.35">
      <c r="A1262" s="21">
        <v>1</v>
      </c>
      <c r="B1262" s="38" t="s">
        <v>168</v>
      </c>
      <c r="C1262" s="38" t="s">
        <v>64</v>
      </c>
      <c r="D1262" s="39">
        <v>184</v>
      </c>
      <c r="E1262" s="39">
        <v>13</v>
      </c>
      <c r="F1262" s="18">
        <f t="shared" si="38"/>
        <v>0</v>
      </c>
      <c r="G1262" s="18">
        <f t="shared" si="39"/>
        <v>171</v>
      </c>
    </row>
    <row r="1263" spans="1:7" x14ac:dyDescent="0.35">
      <c r="A1263" s="21">
        <v>2</v>
      </c>
      <c r="B1263" s="38" t="s">
        <v>168</v>
      </c>
      <c r="C1263" s="38" t="s">
        <v>64</v>
      </c>
      <c r="D1263" s="39">
        <v>0</v>
      </c>
      <c r="E1263" s="39">
        <v>8</v>
      </c>
      <c r="F1263" s="18">
        <f t="shared" si="38"/>
        <v>171</v>
      </c>
      <c r="G1263" s="18">
        <f t="shared" si="39"/>
        <v>163</v>
      </c>
    </row>
    <row r="1264" spans="1:7" x14ac:dyDescent="0.35">
      <c r="A1264" s="21">
        <v>3</v>
      </c>
      <c r="B1264" s="38" t="s">
        <v>168</v>
      </c>
      <c r="C1264" s="38" t="s">
        <v>64</v>
      </c>
      <c r="D1264" s="39">
        <v>0</v>
      </c>
      <c r="E1264" s="39">
        <v>9</v>
      </c>
      <c r="F1264" s="18">
        <f t="shared" si="38"/>
        <v>163</v>
      </c>
      <c r="G1264" s="18">
        <f t="shared" si="39"/>
        <v>154</v>
      </c>
    </row>
    <row r="1265" spans="1:7" x14ac:dyDescent="0.35">
      <c r="A1265" s="21">
        <v>4</v>
      </c>
      <c r="B1265" s="38" t="s">
        <v>168</v>
      </c>
      <c r="C1265" s="38" t="s">
        <v>64</v>
      </c>
      <c r="D1265" s="39">
        <v>0</v>
      </c>
      <c r="E1265" s="39">
        <v>11</v>
      </c>
      <c r="F1265" s="18">
        <f t="shared" si="38"/>
        <v>154</v>
      </c>
      <c r="G1265" s="18">
        <f t="shared" si="39"/>
        <v>143</v>
      </c>
    </row>
    <row r="1266" spans="1:7" x14ac:dyDescent="0.35">
      <c r="A1266" s="21">
        <v>5</v>
      </c>
      <c r="B1266" s="38" t="s">
        <v>168</v>
      </c>
      <c r="C1266" s="38" t="s">
        <v>64</v>
      </c>
      <c r="D1266" s="39">
        <v>0</v>
      </c>
      <c r="E1266" s="39">
        <v>9</v>
      </c>
      <c r="F1266" s="18">
        <f t="shared" si="38"/>
        <v>143</v>
      </c>
      <c r="G1266" s="18">
        <f t="shared" si="39"/>
        <v>134</v>
      </c>
    </row>
    <row r="1267" spans="1:7" x14ac:dyDescent="0.35">
      <c r="A1267" s="21">
        <v>6</v>
      </c>
      <c r="B1267" s="38" t="s">
        <v>168</v>
      </c>
      <c r="C1267" s="38" t="s">
        <v>64</v>
      </c>
      <c r="D1267" s="39">
        <v>0</v>
      </c>
      <c r="E1267" s="39">
        <v>12</v>
      </c>
      <c r="F1267" s="18">
        <f t="shared" si="38"/>
        <v>134</v>
      </c>
      <c r="G1267" s="18">
        <f t="shared" si="39"/>
        <v>122</v>
      </c>
    </row>
    <row r="1268" spans="1:7" x14ac:dyDescent="0.35">
      <c r="A1268" s="21">
        <v>7</v>
      </c>
      <c r="B1268" s="38" t="s">
        <v>168</v>
      </c>
      <c r="C1268" s="38" t="s">
        <v>64</v>
      </c>
      <c r="D1268" s="39">
        <v>0</v>
      </c>
      <c r="E1268" s="39">
        <v>11</v>
      </c>
      <c r="F1268" s="18">
        <f t="shared" si="38"/>
        <v>122</v>
      </c>
      <c r="G1268" s="18">
        <f t="shared" si="39"/>
        <v>111</v>
      </c>
    </row>
    <row r="1269" spans="1:7" x14ac:dyDescent="0.35">
      <c r="A1269" s="21">
        <v>8</v>
      </c>
      <c r="B1269" s="38" t="s">
        <v>168</v>
      </c>
      <c r="C1269" s="38" t="s">
        <v>64</v>
      </c>
      <c r="D1269" s="39">
        <v>0</v>
      </c>
      <c r="E1269" s="39">
        <v>11</v>
      </c>
      <c r="F1269" s="18">
        <f t="shared" si="38"/>
        <v>111</v>
      </c>
      <c r="G1269" s="18">
        <f t="shared" si="39"/>
        <v>100</v>
      </c>
    </row>
    <row r="1270" spans="1:7" x14ac:dyDescent="0.35">
      <c r="A1270" s="21">
        <v>9</v>
      </c>
      <c r="B1270" s="38" t="s">
        <v>168</v>
      </c>
      <c r="C1270" s="38" t="s">
        <v>64</v>
      </c>
      <c r="D1270" s="39">
        <v>0</v>
      </c>
      <c r="E1270" s="39">
        <v>12</v>
      </c>
      <c r="F1270" s="18">
        <f t="shared" si="38"/>
        <v>100</v>
      </c>
      <c r="G1270" s="18">
        <f t="shared" si="39"/>
        <v>88</v>
      </c>
    </row>
    <row r="1271" spans="1:7" x14ac:dyDescent="0.35">
      <c r="A1271" s="21">
        <v>10</v>
      </c>
      <c r="B1271" s="38" t="s">
        <v>168</v>
      </c>
      <c r="C1271" s="38" t="s">
        <v>64</v>
      </c>
      <c r="D1271" s="39">
        <v>0</v>
      </c>
      <c r="E1271" s="39">
        <v>12</v>
      </c>
      <c r="F1271" s="18">
        <f t="shared" si="38"/>
        <v>88</v>
      </c>
      <c r="G1271" s="18">
        <f t="shared" si="39"/>
        <v>76</v>
      </c>
    </row>
    <row r="1272" spans="1:7" x14ac:dyDescent="0.35">
      <c r="A1272" s="21">
        <v>11</v>
      </c>
      <c r="B1272" s="38" t="s">
        <v>168</v>
      </c>
      <c r="C1272" s="38" t="s">
        <v>64</v>
      </c>
      <c r="D1272" s="39">
        <v>0</v>
      </c>
      <c r="E1272" s="39">
        <v>7</v>
      </c>
      <c r="F1272" s="18">
        <f t="shared" si="38"/>
        <v>76</v>
      </c>
      <c r="G1272" s="18">
        <f t="shared" si="39"/>
        <v>69</v>
      </c>
    </row>
    <row r="1273" spans="1:7" x14ac:dyDescent="0.35">
      <c r="A1273" s="21">
        <v>12</v>
      </c>
      <c r="B1273" s="38" t="s">
        <v>168</v>
      </c>
      <c r="C1273" s="38" t="s">
        <v>64</v>
      </c>
      <c r="D1273" s="39">
        <v>0</v>
      </c>
      <c r="E1273" s="39">
        <v>8</v>
      </c>
      <c r="F1273" s="18">
        <f t="shared" si="38"/>
        <v>69</v>
      </c>
      <c r="G1273" s="18">
        <f t="shared" si="39"/>
        <v>61</v>
      </c>
    </row>
    <row r="1274" spans="1:7" x14ac:dyDescent="0.35">
      <c r="A1274" s="21">
        <v>1</v>
      </c>
      <c r="B1274" s="38" t="s">
        <v>168</v>
      </c>
      <c r="C1274" s="38" t="s">
        <v>66</v>
      </c>
      <c r="D1274" s="39">
        <v>108</v>
      </c>
      <c r="E1274" s="39">
        <v>6</v>
      </c>
      <c r="F1274" s="18">
        <f t="shared" si="38"/>
        <v>0</v>
      </c>
      <c r="G1274" s="18">
        <f t="shared" si="39"/>
        <v>102</v>
      </c>
    </row>
    <row r="1275" spans="1:7" x14ac:dyDescent="0.35">
      <c r="A1275" s="21">
        <v>2</v>
      </c>
      <c r="B1275" s="38" t="s">
        <v>168</v>
      </c>
      <c r="C1275" s="38" t="s">
        <v>66</v>
      </c>
      <c r="D1275" s="39">
        <v>0</v>
      </c>
      <c r="E1275" s="39">
        <v>6</v>
      </c>
      <c r="F1275" s="18">
        <f t="shared" si="38"/>
        <v>102</v>
      </c>
      <c r="G1275" s="18">
        <f t="shared" si="39"/>
        <v>96</v>
      </c>
    </row>
    <row r="1276" spans="1:7" x14ac:dyDescent="0.35">
      <c r="A1276" s="21">
        <v>3</v>
      </c>
      <c r="B1276" s="38" t="s">
        <v>168</v>
      </c>
      <c r="C1276" s="38" t="s">
        <v>66</v>
      </c>
      <c r="D1276" s="39">
        <v>0</v>
      </c>
      <c r="E1276" s="39">
        <v>6</v>
      </c>
      <c r="F1276" s="18">
        <f t="shared" si="38"/>
        <v>96</v>
      </c>
      <c r="G1276" s="18">
        <f t="shared" si="39"/>
        <v>90</v>
      </c>
    </row>
    <row r="1277" spans="1:7" x14ac:dyDescent="0.35">
      <c r="A1277" s="21">
        <v>4</v>
      </c>
      <c r="B1277" s="38" t="s">
        <v>168</v>
      </c>
      <c r="C1277" s="38" t="s">
        <v>66</v>
      </c>
      <c r="D1277" s="39">
        <v>0</v>
      </c>
      <c r="E1277" s="39">
        <v>8</v>
      </c>
      <c r="F1277" s="18">
        <f t="shared" si="38"/>
        <v>90</v>
      </c>
      <c r="G1277" s="18">
        <f t="shared" si="39"/>
        <v>82</v>
      </c>
    </row>
    <row r="1278" spans="1:7" x14ac:dyDescent="0.35">
      <c r="A1278" s="21">
        <v>5</v>
      </c>
      <c r="B1278" s="38" t="s">
        <v>168</v>
      </c>
      <c r="C1278" s="38" t="s">
        <v>66</v>
      </c>
      <c r="D1278" s="39">
        <v>0</v>
      </c>
      <c r="E1278" s="39">
        <v>8</v>
      </c>
      <c r="F1278" s="18">
        <f t="shared" si="38"/>
        <v>82</v>
      </c>
      <c r="G1278" s="18">
        <f t="shared" si="39"/>
        <v>74</v>
      </c>
    </row>
    <row r="1279" spans="1:7" x14ac:dyDescent="0.35">
      <c r="A1279" s="21">
        <v>6</v>
      </c>
      <c r="B1279" s="38" t="s">
        <v>168</v>
      </c>
      <c r="C1279" s="38" t="s">
        <v>66</v>
      </c>
      <c r="D1279" s="39">
        <v>0</v>
      </c>
      <c r="E1279" s="39">
        <v>7</v>
      </c>
      <c r="F1279" s="18">
        <f t="shared" si="38"/>
        <v>74</v>
      </c>
      <c r="G1279" s="18">
        <f t="shared" si="39"/>
        <v>67</v>
      </c>
    </row>
    <row r="1280" spans="1:7" x14ac:dyDescent="0.35">
      <c r="A1280" s="21">
        <v>7</v>
      </c>
      <c r="B1280" s="38" t="s">
        <v>168</v>
      </c>
      <c r="C1280" s="38" t="s">
        <v>66</v>
      </c>
      <c r="D1280" s="39">
        <v>0</v>
      </c>
      <c r="E1280" s="39">
        <v>6</v>
      </c>
      <c r="F1280" s="18">
        <f t="shared" si="38"/>
        <v>67</v>
      </c>
      <c r="G1280" s="18">
        <f t="shared" si="39"/>
        <v>61</v>
      </c>
    </row>
    <row r="1281" spans="1:7" x14ac:dyDescent="0.35">
      <c r="A1281" s="21">
        <v>8</v>
      </c>
      <c r="B1281" s="38" t="s">
        <v>168</v>
      </c>
      <c r="C1281" s="38" t="s">
        <v>66</v>
      </c>
      <c r="D1281" s="39">
        <v>0</v>
      </c>
      <c r="E1281" s="39">
        <v>6</v>
      </c>
      <c r="F1281" s="18">
        <f t="shared" si="38"/>
        <v>61</v>
      </c>
      <c r="G1281" s="18">
        <f t="shared" si="39"/>
        <v>55</v>
      </c>
    </row>
    <row r="1282" spans="1:7" x14ac:dyDescent="0.35">
      <c r="A1282" s="21">
        <v>9</v>
      </c>
      <c r="B1282" s="38" t="s">
        <v>168</v>
      </c>
      <c r="C1282" s="38" t="s">
        <v>66</v>
      </c>
      <c r="D1282" s="39">
        <v>0</v>
      </c>
      <c r="E1282" s="39">
        <v>7</v>
      </c>
      <c r="F1282" s="18">
        <f t="shared" ref="F1282:F1345" si="40">IF(A1282=1,0,G1281)</f>
        <v>55</v>
      </c>
      <c r="G1282" s="18">
        <f t="shared" ref="G1282:G1345" si="41">F1282+D1282-E1282</f>
        <v>48</v>
      </c>
    </row>
    <row r="1283" spans="1:7" x14ac:dyDescent="0.35">
      <c r="A1283" s="21">
        <v>10</v>
      </c>
      <c r="B1283" s="38" t="s">
        <v>168</v>
      </c>
      <c r="C1283" s="38" t="s">
        <v>66</v>
      </c>
      <c r="D1283" s="39">
        <v>0</v>
      </c>
      <c r="E1283" s="39">
        <v>6</v>
      </c>
      <c r="F1283" s="18">
        <f t="shared" si="40"/>
        <v>48</v>
      </c>
      <c r="G1283" s="18">
        <f t="shared" si="41"/>
        <v>42</v>
      </c>
    </row>
    <row r="1284" spans="1:7" x14ac:dyDescent="0.35">
      <c r="A1284" s="21">
        <v>11</v>
      </c>
      <c r="B1284" s="38" t="s">
        <v>168</v>
      </c>
      <c r="C1284" s="38" t="s">
        <v>66</v>
      </c>
      <c r="D1284" s="39">
        <v>0</v>
      </c>
      <c r="E1284" s="39">
        <v>7</v>
      </c>
      <c r="F1284" s="18">
        <f t="shared" si="40"/>
        <v>42</v>
      </c>
      <c r="G1284" s="18">
        <f t="shared" si="41"/>
        <v>35</v>
      </c>
    </row>
    <row r="1285" spans="1:7" x14ac:dyDescent="0.35">
      <c r="A1285" s="21">
        <v>12</v>
      </c>
      <c r="B1285" s="38" t="s">
        <v>168</v>
      </c>
      <c r="C1285" s="38" t="s">
        <v>66</v>
      </c>
      <c r="D1285" s="39">
        <v>0</v>
      </c>
      <c r="E1285" s="39">
        <v>7</v>
      </c>
      <c r="F1285" s="18">
        <f t="shared" si="40"/>
        <v>35</v>
      </c>
      <c r="G1285" s="18">
        <f t="shared" si="41"/>
        <v>28</v>
      </c>
    </row>
    <row r="1286" spans="1:7" x14ac:dyDescent="0.35">
      <c r="A1286" s="21">
        <v>1</v>
      </c>
      <c r="B1286" s="38" t="s">
        <v>168</v>
      </c>
      <c r="C1286" s="38" t="s">
        <v>68</v>
      </c>
      <c r="D1286" s="39">
        <v>131</v>
      </c>
      <c r="E1286" s="39">
        <v>6</v>
      </c>
      <c r="F1286" s="18">
        <f t="shared" si="40"/>
        <v>0</v>
      </c>
      <c r="G1286" s="18">
        <f t="shared" si="41"/>
        <v>125</v>
      </c>
    </row>
    <row r="1287" spans="1:7" x14ac:dyDescent="0.35">
      <c r="A1287" s="21">
        <v>2</v>
      </c>
      <c r="B1287" s="38" t="s">
        <v>168</v>
      </c>
      <c r="C1287" s="38" t="s">
        <v>68</v>
      </c>
      <c r="D1287" s="39">
        <v>0</v>
      </c>
      <c r="E1287" s="39">
        <v>7</v>
      </c>
      <c r="F1287" s="18">
        <f t="shared" si="40"/>
        <v>125</v>
      </c>
      <c r="G1287" s="18">
        <f t="shared" si="41"/>
        <v>118</v>
      </c>
    </row>
    <row r="1288" spans="1:7" x14ac:dyDescent="0.35">
      <c r="A1288" s="21">
        <v>3</v>
      </c>
      <c r="B1288" s="38" t="s">
        <v>168</v>
      </c>
      <c r="C1288" s="38" t="s">
        <v>68</v>
      </c>
      <c r="D1288" s="39">
        <v>0</v>
      </c>
      <c r="E1288" s="39">
        <v>11</v>
      </c>
      <c r="F1288" s="18">
        <f t="shared" si="40"/>
        <v>118</v>
      </c>
      <c r="G1288" s="18">
        <f t="shared" si="41"/>
        <v>107</v>
      </c>
    </row>
    <row r="1289" spans="1:7" x14ac:dyDescent="0.35">
      <c r="A1289" s="21">
        <v>4</v>
      </c>
      <c r="B1289" s="38" t="s">
        <v>168</v>
      </c>
      <c r="C1289" s="38" t="s">
        <v>68</v>
      </c>
      <c r="D1289" s="39">
        <v>0</v>
      </c>
      <c r="E1289" s="39">
        <v>10</v>
      </c>
      <c r="F1289" s="18">
        <f t="shared" si="40"/>
        <v>107</v>
      </c>
      <c r="G1289" s="18">
        <f t="shared" si="41"/>
        <v>97</v>
      </c>
    </row>
    <row r="1290" spans="1:7" x14ac:dyDescent="0.35">
      <c r="A1290" s="21">
        <v>5</v>
      </c>
      <c r="B1290" s="38" t="s">
        <v>168</v>
      </c>
      <c r="C1290" s="38" t="s">
        <v>68</v>
      </c>
      <c r="D1290" s="39">
        <v>0</v>
      </c>
      <c r="E1290" s="39">
        <v>7</v>
      </c>
      <c r="F1290" s="18">
        <f t="shared" si="40"/>
        <v>97</v>
      </c>
      <c r="G1290" s="18">
        <f t="shared" si="41"/>
        <v>90</v>
      </c>
    </row>
    <row r="1291" spans="1:7" x14ac:dyDescent="0.35">
      <c r="A1291" s="21">
        <v>6</v>
      </c>
      <c r="B1291" s="38" t="s">
        <v>168</v>
      </c>
      <c r="C1291" s="38" t="s">
        <v>68</v>
      </c>
      <c r="D1291" s="39">
        <v>0</v>
      </c>
      <c r="E1291" s="39">
        <v>11</v>
      </c>
      <c r="F1291" s="18">
        <f t="shared" si="40"/>
        <v>90</v>
      </c>
      <c r="G1291" s="18">
        <f t="shared" si="41"/>
        <v>79</v>
      </c>
    </row>
    <row r="1292" spans="1:7" x14ac:dyDescent="0.35">
      <c r="A1292" s="21">
        <v>7</v>
      </c>
      <c r="B1292" s="38" t="s">
        <v>168</v>
      </c>
      <c r="C1292" s="38" t="s">
        <v>68</v>
      </c>
      <c r="D1292" s="39">
        <v>0</v>
      </c>
      <c r="E1292" s="39">
        <v>9</v>
      </c>
      <c r="F1292" s="18">
        <f t="shared" si="40"/>
        <v>79</v>
      </c>
      <c r="G1292" s="18">
        <f t="shared" si="41"/>
        <v>70</v>
      </c>
    </row>
    <row r="1293" spans="1:7" x14ac:dyDescent="0.35">
      <c r="A1293" s="21">
        <v>8</v>
      </c>
      <c r="B1293" s="38" t="s">
        <v>168</v>
      </c>
      <c r="C1293" s="38" t="s">
        <v>68</v>
      </c>
      <c r="D1293" s="39">
        <v>0</v>
      </c>
      <c r="E1293" s="39">
        <v>9</v>
      </c>
      <c r="F1293" s="18">
        <f t="shared" si="40"/>
        <v>70</v>
      </c>
      <c r="G1293" s="18">
        <f t="shared" si="41"/>
        <v>61</v>
      </c>
    </row>
    <row r="1294" spans="1:7" x14ac:dyDescent="0.35">
      <c r="A1294" s="21">
        <v>9</v>
      </c>
      <c r="B1294" s="38" t="s">
        <v>168</v>
      </c>
      <c r="C1294" s="38" t="s">
        <v>68</v>
      </c>
      <c r="D1294" s="39">
        <v>0</v>
      </c>
      <c r="E1294" s="39">
        <v>11</v>
      </c>
      <c r="F1294" s="18">
        <f t="shared" si="40"/>
        <v>61</v>
      </c>
      <c r="G1294" s="18">
        <f t="shared" si="41"/>
        <v>50</v>
      </c>
    </row>
    <row r="1295" spans="1:7" x14ac:dyDescent="0.35">
      <c r="A1295" s="21">
        <v>10</v>
      </c>
      <c r="B1295" s="38" t="s">
        <v>168</v>
      </c>
      <c r="C1295" s="38" t="s">
        <v>68</v>
      </c>
      <c r="D1295" s="39">
        <v>0</v>
      </c>
      <c r="E1295" s="39">
        <v>7</v>
      </c>
      <c r="F1295" s="18">
        <f t="shared" si="40"/>
        <v>50</v>
      </c>
      <c r="G1295" s="18">
        <f t="shared" si="41"/>
        <v>43</v>
      </c>
    </row>
    <row r="1296" spans="1:7" x14ac:dyDescent="0.35">
      <c r="A1296" s="21">
        <v>11</v>
      </c>
      <c r="B1296" s="38" t="s">
        <v>168</v>
      </c>
      <c r="C1296" s="38" t="s">
        <v>68</v>
      </c>
      <c r="D1296" s="39">
        <v>0</v>
      </c>
      <c r="E1296" s="39">
        <v>7</v>
      </c>
      <c r="F1296" s="18">
        <f t="shared" si="40"/>
        <v>43</v>
      </c>
      <c r="G1296" s="18">
        <f t="shared" si="41"/>
        <v>36</v>
      </c>
    </row>
    <row r="1297" spans="1:7" x14ac:dyDescent="0.35">
      <c r="A1297" s="21">
        <v>12</v>
      </c>
      <c r="B1297" s="38" t="s">
        <v>168</v>
      </c>
      <c r="C1297" s="38" t="s">
        <v>68</v>
      </c>
      <c r="D1297" s="39">
        <v>0</v>
      </c>
      <c r="E1297" s="39">
        <v>9</v>
      </c>
      <c r="F1297" s="18">
        <f t="shared" si="40"/>
        <v>36</v>
      </c>
      <c r="G1297" s="18">
        <f t="shared" si="41"/>
        <v>27</v>
      </c>
    </row>
    <row r="1298" spans="1:7" x14ac:dyDescent="0.35">
      <c r="A1298" s="21">
        <v>1</v>
      </c>
      <c r="B1298" s="38" t="s">
        <v>169</v>
      </c>
      <c r="C1298" s="38" t="s">
        <v>62</v>
      </c>
      <c r="D1298" s="39">
        <v>128</v>
      </c>
      <c r="E1298" s="39">
        <v>6</v>
      </c>
      <c r="F1298" s="18">
        <f t="shared" si="40"/>
        <v>0</v>
      </c>
      <c r="G1298" s="18">
        <f t="shared" si="41"/>
        <v>122</v>
      </c>
    </row>
    <row r="1299" spans="1:7" x14ac:dyDescent="0.35">
      <c r="A1299" s="21">
        <v>2</v>
      </c>
      <c r="B1299" s="38" t="s">
        <v>169</v>
      </c>
      <c r="C1299" s="38" t="s">
        <v>62</v>
      </c>
      <c r="D1299" s="39">
        <v>0</v>
      </c>
      <c r="E1299" s="39">
        <v>6</v>
      </c>
      <c r="F1299" s="18">
        <f t="shared" si="40"/>
        <v>122</v>
      </c>
      <c r="G1299" s="18">
        <f t="shared" si="41"/>
        <v>116</v>
      </c>
    </row>
    <row r="1300" spans="1:7" x14ac:dyDescent="0.35">
      <c r="A1300" s="21">
        <v>3</v>
      </c>
      <c r="B1300" s="38" t="s">
        <v>169</v>
      </c>
      <c r="C1300" s="38" t="s">
        <v>62</v>
      </c>
      <c r="D1300" s="39">
        <v>0</v>
      </c>
      <c r="E1300" s="39">
        <v>6</v>
      </c>
      <c r="F1300" s="18">
        <f t="shared" si="40"/>
        <v>116</v>
      </c>
      <c r="G1300" s="18">
        <f t="shared" si="41"/>
        <v>110</v>
      </c>
    </row>
    <row r="1301" spans="1:7" x14ac:dyDescent="0.35">
      <c r="A1301" s="21">
        <v>4</v>
      </c>
      <c r="B1301" s="38" t="s">
        <v>169</v>
      </c>
      <c r="C1301" s="38" t="s">
        <v>62</v>
      </c>
      <c r="D1301" s="39">
        <v>0</v>
      </c>
      <c r="E1301" s="39">
        <v>7</v>
      </c>
      <c r="F1301" s="18">
        <f t="shared" si="40"/>
        <v>110</v>
      </c>
      <c r="G1301" s="18">
        <f t="shared" si="41"/>
        <v>103</v>
      </c>
    </row>
    <row r="1302" spans="1:7" x14ac:dyDescent="0.35">
      <c r="A1302" s="21">
        <v>5</v>
      </c>
      <c r="B1302" s="38" t="s">
        <v>169</v>
      </c>
      <c r="C1302" s="38" t="s">
        <v>62</v>
      </c>
      <c r="D1302" s="39">
        <v>0</v>
      </c>
      <c r="E1302" s="39">
        <v>6</v>
      </c>
      <c r="F1302" s="18">
        <f t="shared" si="40"/>
        <v>103</v>
      </c>
      <c r="G1302" s="18">
        <f t="shared" si="41"/>
        <v>97</v>
      </c>
    </row>
    <row r="1303" spans="1:7" x14ac:dyDescent="0.35">
      <c r="A1303" s="21">
        <v>6</v>
      </c>
      <c r="B1303" s="38" t="s">
        <v>169</v>
      </c>
      <c r="C1303" s="38" t="s">
        <v>62</v>
      </c>
      <c r="D1303" s="39">
        <v>0</v>
      </c>
      <c r="E1303" s="39">
        <v>6</v>
      </c>
      <c r="F1303" s="18">
        <f t="shared" si="40"/>
        <v>97</v>
      </c>
      <c r="G1303" s="18">
        <f t="shared" si="41"/>
        <v>91</v>
      </c>
    </row>
    <row r="1304" spans="1:7" x14ac:dyDescent="0.35">
      <c r="A1304" s="21">
        <v>7</v>
      </c>
      <c r="B1304" s="38" t="s">
        <v>169</v>
      </c>
      <c r="C1304" s="38" t="s">
        <v>62</v>
      </c>
      <c r="D1304" s="39">
        <v>0</v>
      </c>
      <c r="E1304" s="39">
        <v>9</v>
      </c>
      <c r="F1304" s="18">
        <f t="shared" si="40"/>
        <v>91</v>
      </c>
      <c r="G1304" s="18">
        <f t="shared" si="41"/>
        <v>82</v>
      </c>
    </row>
    <row r="1305" spans="1:7" x14ac:dyDescent="0.35">
      <c r="A1305" s="21">
        <v>8</v>
      </c>
      <c r="B1305" s="38" t="s">
        <v>169</v>
      </c>
      <c r="C1305" s="38" t="s">
        <v>62</v>
      </c>
      <c r="D1305" s="39">
        <v>0</v>
      </c>
      <c r="E1305" s="39">
        <v>7</v>
      </c>
      <c r="F1305" s="18">
        <f t="shared" si="40"/>
        <v>82</v>
      </c>
      <c r="G1305" s="18">
        <f t="shared" si="41"/>
        <v>75</v>
      </c>
    </row>
    <row r="1306" spans="1:7" x14ac:dyDescent="0.35">
      <c r="A1306" s="21">
        <v>9</v>
      </c>
      <c r="B1306" s="38" t="s">
        <v>169</v>
      </c>
      <c r="C1306" s="38" t="s">
        <v>62</v>
      </c>
      <c r="D1306" s="39">
        <v>0</v>
      </c>
      <c r="E1306" s="39">
        <v>7</v>
      </c>
      <c r="F1306" s="18">
        <f t="shared" si="40"/>
        <v>75</v>
      </c>
      <c r="G1306" s="18">
        <f t="shared" si="41"/>
        <v>68</v>
      </c>
    </row>
    <row r="1307" spans="1:7" x14ac:dyDescent="0.35">
      <c r="A1307" s="21">
        <v>10</v>
      </c>
      <c r="B1307" s="38" t="s">
        <v>169</v>
      </c>
      <c r="C1307" s="38" t="s">
        <v>62</v>
      </c>
      <c r="D1307" s="39">
        <v>0</v>
      </c>
      <c r="E1307" s="39">
        <v>6</v>
      </c>
      <c r="F1307" s="18">
        <f t="shared" si="40"/>
        <v>68</v>
      </c>
      <c r="G1307" s="18">
        <f t="shared" si="41"/>
        <v>62</v>
      </c>
    </row>
    <row r="1308" spans="1:7" x14ac:dyDescent="0.35">
      <c r="A1308" s="21">
        <v>11</v>
      </c>
      <c r="B1308" s="38" t="s">
        <v>169</v>
      </c>
      <c r="C1308" s="38" t="s">
        <v>62</v>
      </c>
      <c r="D1308" s="39">
        <v>0</v>
      </c>
      <c r="E1308" s="39">
        <v>7</v>
      </c>
      <c r="F1308" s="18">
        <f t="shared" si="40"/>
        <v>62</v>
      </c>
      <c r="G1308" s="18">
        <f t="shared" si="41"/>
        <v>55</v>
      </c>
    </row>
    <row r="1309" spans="1:7" x14ac:dyDescent="0.35">
      <c r="A1309" s="21">
        <v>12</v>
      </c>
      <c r="B1309" s="38" t="s">
        <v>169</v>
      </c>
      <c r="C1309" s="38" t="s">
        <v>62</v>
      </c>
      <c r="D1309" s="39">
        <v>0</v>
      </c>
      <c r="E1309" s="39">
        <v>7</v>
      </c>
      <c r="F1309" s="18">
        <f t="shared" si="40"/>
        <v>55</v>
      </c>
      <c r="G1309" s="18">
        <f t="shared" si="41"/>
        <v>48</v>
      </c>
    </row>
    <row r="1310" spans="1:7" x14ac:dyDescent="0.35">
      <c r="A1310" s="21">
        <v>1</v>
      </c>
      <c r="B1310" s="38" t="s">
        <v>169</v>
      </c>
      <c r="C1310" s="38" t="s">
        <v>64</v>
      </c>
      <c r="D1310" s="39">
        <v>171</v>
      </c>
      <c r="E1310" s="39">
        <v>8</v>
      </c>
      <c r="F1310" s="18">
        <f t="shared" si="40"/>
        <v>0</v>
      </c>
      <c r="G1310" s="18">
        <f t="shared" si="41"/>
        <v>163</v>
      </c>
    </row>
    <row r="1311" spans="1:7" x14ac:dyDescent="0.35">
      <c r="A1311" s="21">
        <v>2</v>
      </c>
      <c r="B1311" s="38" t="s">
        <v>169</v>
      </c>
      <c r="C1311" s="38" t="s">
        <v>64</v>
      </c>
      <c r="D1311" s="39">
        <v>0</v>
      </c>
      <c r="E1311" s="39">
        <v>13</v>
      </c>
      <c r="F1311" s="18">
        <f t="shared" si="40"/>
        <v>163</v>
      </c>
      <c r="G1311" s="18">
        <f t="shared" si="41"/>
        <v>150</v>
      </c>
    </row>
    <row r="1312" spans="1:7" x14ac:dyDescent="0.35">
      <c r="A1312" s="21">
        <v>3</v>
      </c>
      <c r="B1312" s="38" t="s">
        <v>169</v>
      </c>
      <c r="C1312" s="38" t="s">
        <v>64</v>
      </c>
      <c r="D1312" s="39">
        <v>0</v>
      </c>
      <c r="E1312" s="39">
        <v>13</v>
      </c>
      <c r="F1312" s="18">
        <f t="shared" si="40"/>
        <v>150</v>
      </c>
      <c r="G1312" s="18">
        <f t="shared" si="41"/>
        <v>137</v>
      </c>
    </row>
    <row r="1313" spans="1:7" x14ac:dyDescent="0.35">
      <c r="A1313" s="21">
        <v>4</v>
      </c>
      <c r="B1313" s="38" t="s">
        <v>169</v>
      </c>
      <c r="C1313" s="38" t="s">
        <v>64</v>
      </c>
      <c r="D1313" s="39">
        <v>0</v>
      </c>
      <c r="E1313" s="39">
        <v>8</v>
      </c>
      <c r="F1313" s="18">
        <f t="shared" si="40"/>
        <v>137</v>
      </c>
      <c r="G1313" s="18">
        <f t="shared" si="41"/>
        <v>129</v>
      </c>
    </row>
    <row r="1314" spans="1:7" x14ac:dyDescent="0.35">
      <c r="A1314" s="21">
        <v>5</v>
      </c>
      <c r="B1314" s="38" t="s">
        <v>169</v>
      </c>
      <c r="C1314" s="38" t="s">
        <v>64</v>
      </c>
      <c r="D1314" s="39">
        <v>0</v>
      </c>
      <c r="E1314" s="39">
        <v>8</v>
      </c>
      <c r="F1314" s="18">
        <f t="shared" si="40"/>
        <v>129</v>
      </c>
      <c r="G1314" s="18">
        <f t="shared" si="41"/>
        <v>121</v>
      </c>
    </row>
    <row r="1315" spans="1:7" x14ac:dyDescent="0.35">
      <c r="A1315" s="21">
        <v>6</v>
      </c>
      <c r="B1315" s="38" t="s">
        <v>169</v>
      </c>
      <c r="C1315" s="38" t="s">
        <v>64</v>
      </c>
      <c r="D1315" s="39">
        <v>0</v>
      </c>
      <c r="E1315" s="39">
        <v>8</v>
      </c>
      <c r="F1315" s="18">
        <f t="shared" si="40"/>
        <v>121</v>
      </c>
      <c r="G1315" s="18">
        <f t="shared" si="41"/>
        <v>113</v>
      </c>
    </row>
    <row r="1316" spans="1:7" x14ac:dyDescent="0.35">
      <c r="A1316" s="21">
        <v>7</v>
      </c>
      <c r="B1316" s="38" t="s">
        <v>169</v>
      </c>
      <c r="C1316" s="38" t="s">
        <v>64</v>
      </c>
      <c r="D1316" s="39">
        <v>0</v>
      </c>
      <c r="E1316" s="39">
        <v>11</v>
      </c>
      <c r="F1316" s="18">
        <f t="shared" si="40"/>
        <v>113</v>
      </c>
      <c r="G1316" s="18">
        <f t="shared" si="41"/>
        <v>102</v>
      </c>
    </row>
    <row r="1317" spans="1:7" x14ac:dyDescent="0.35">
      <c r="A1317" s="21">
        <v>8</v>
      </c>
      <c r="B1317" s="38" t="s">
        <v>169</v>
      </c>
      <c r="C1317" s="38" t="s">
        <v>64</v>
      </c>
      <c r="D1317" s="39">
        <v>0</v>
      </c>
      <c r="E1317" s="39">
        <v>8</v>
      </c>
      <c r="F1317" s="18">
        <f t="shared" si="40"/>
        <v>102</v>
      </c>
      <c r="G1317" s="18">
        <f t="shared" si="41"/>
        <v>94</v>
      </c>
    </row>
    <row r="1318" spans="1:7" x14ac:dyDescent="0.35">
      <c r="A1318" s="21">
        <v>9</v>
      </c>
      <c r="B1318" s="38" t="s">
        <v>169</v>
      </c>
      <c r="C1318" s="38" t="s">
        <v>64</v>
      </c>
      <c r="D1318" s="39">
        <v>0</v>
      </c>
      <c r="E1318" s="39">
        <v>12</v>
      </c>
      <c r="F1318" s="18">
        <f t="shared" si="40"/>
        <v>94</v>
      </c>
      <c r="G1318" s="18">
        <f t="shared" si="41"/>
        <v>82</v>
      </c>
    </row>
    <row r="1319" spans="1:7" x14ac:dyDescent="0.35">
      <c r="A1319" s="21">
        <v>10</v>
      </c>
      <c r="B1319" s="38" t="s">
        <v>169</v>
      </c>
      <c r="C1319" s="38" t="s">
        <v>64</v>
      </c>
      <c r="D1319" s="39">
        <v>0</v>
      </c>
      <c r="E1319" s="39">
        <v>12</v>
      </c>
      <c r="F1319" s="18">
        <f t="shared" si="40"/>
        <v>82</v>
      </c>
      <c r="G1319" s="18">
        <f t="shared" si="41"/>
        <v>70</v>
      </c>
    </row>
    <row r="1320" spans="1:7" x14ac:dyDescent="0.35">
      <c r="A1320" s="21">
        <v>11</v>
      </c>
      <c r="B1320" s="38" t="s">
        <v>169</v>
      </c>
      <c r="C1320" s="38" t="s">
        <v>64</v>
      </c>
      <c r="D1320" s="39">
        <v>0</v>
      </c>
      <c r="E1320" s="39">
        <v>12</v>
      </c>
      <c r="F1320" s="18">
        <f t="shared" si="40"/>
        <v>70</v>
      </c>
      <c r="G1320" s="18">
        <f t="shared" si="41"/>
        <v>58</v>
      </c>
    </row>
    <row r="1321" spans="1:7" x14ac:dyDescent="0.35">
      <c r="A1321" s="21">
        <v>12</v>
      </c>
      <c r="B1321" s="38" t="s">
        <v>169</v>
      </c>
      <c r="C1321" s="38" t="s">
        <v>64</v>
      </c>
      <c r="D1321" s="39">
        <v>0</v>
      </c>
      <c r="E1321" s="39">
        <v>10</v>
      </c>
      <c r="F1321" s="18">
        <f t="shared" si="40"/>
        <v>58</v>
      </c>
      <c r="G1321" s="18">
        <f t="shared" si="41"/>
        <v>48</v>
      </c>
    </row>
    <row r="1322" spans="1:7" x14ac:dyDescent="0.35">
      <c r="A1322" s="21">
        <v>1</v>
      </c>
      <c r="B1322" s="38" t="s">
        <v>169</v>
      </c>
      <c r="C1322" s="38" t="s">
        <v>66</v>
      </c>
      <c r="D1322" s="39">
        <v>115</v>
      </c>
      <c r="E1322" s="39">
        <v>5</v>
      </c>
      <c r="F1322" s="18">
        <f t="shared" si="40"/>
        <v>0</v>
      </c>
      <c r="G1322" s="18">
        <f t="shared" si="41"/>
        <v>110</v>
      </c>
    </row>
    <row r="1323" spans="1:7" x14ac:dyDescent="0.35">
      <c r="A1323" s="21">
        <v>2</v>
      </c>
      <c r="B1323" s="38" t="s">
        <v>169</v>
      </c>
      <c r="C1323" s="38" t="s">
        <v>66</v>
      </c>
      <c r="D1323" s="39">
        <v>0</v>
      </c>
      <c r="E1323" s="39">
        <v>6</v>
      </c>
      <c r="F1323" s="18">
        <f t="shared" si="40"/>
        <v>110</v>
      </c>
      <c r="G1323" s="18">
        <f t="shared" si="41"/>
        <v>104</v>
      </c>
    </row>
    <row r="1324" spans="1:7" x14ac:dyDescent="0.35">
      <c r="A1324" s="21">
        <v>3</v>
      </c>
      <c r="B1324" s="38" t="s">
        <v>169</v>
      </c>
      <c r="C1324" s="38" t="s">
        <v>66</v>
      </c>
      <c r="D1324" s="39">
        <v>0</v>
      </c>
      <c r="E1324" s="39">
        <v>6</v>
      </c>
      <c r="F1324" s="18">
        <f t="shared" si="40"/>
        <v>104</v>
      </c>
      <c r="G1324" s="18">
        <f t="shared" si="41"/>
        <v>98</v>
      </c>
    </row>
    <row r="1325" spans="1:7" x14ac:dyDescent="0.35">
      <c r="A1325" s="21">
        <v>4</v>
      </c>
      <c r="B1325" s="38" t="s">
        <v>169</v>
      </c>
      <c r="C1325" s="38" t="s">
        <v>66</v>
      </c>
      <c r="D1325" s="39">
        <v>0</v>
      </c>
      <c r="E1325" s="39">
        <v>8</v>
      </c>
      <c r="F1325" s="18">
        <f t="shared" si="40"/>
        <v>98</v>
      </c>
      <c r="G1325" s="18">
        <f t="shared" si="41"/>
        <v>90</v>
      </c>
    </row>
    <row r="1326" spans="1:7" x14ac:dyDescent="0.35">
      <c r="A1326" s="21">
        <v>5</v>
      </c>
      <c r="B1326" s="38" t="s">
        <v>169</v>
      </c>
      <c r="C1326" s="38" t="s">
        <v>66</v>
      </c>
      <c r="D1326" s="39">
        <v>0</v>
      </c>
      <c r="E1326" s="39">
        <v>7</v>
      </c>
      <c r="F1326" s="18">
        <f t="shared" si="40"/>
        <v>90</v>
      </c>
      <c r="G1326" s="18">
        <f t="shared" si="41"/>
        <v>83</v>
      </c>
    </row>
    <row r="1327" spans="1:7" x14ac:dyDescent="0.35">
      <c r="A1327" s="21">
        <v>6</v>
      </c>
      <c r="B1327" s="38" t="s">
        <v>169</v>
      </c>
      <c r="C1327" s="38" t="s">
        <v>66</v>
      </c>
      <c r="D1327" s="39">
        <v>0</v>
      </c>
      <c r="E1327" s="39">
        <v>8</v>
      </c>
      <c r="F1327" s="18">
        <f t="shared" si="40"/>
        <v>83</v>
      </c>
      <c r="G1327" s="18">
        <f t="shared" si="41"/>
        <v>75</v>
      </c>
    </row>
    <row r="1328" spans="1:7" x14ac:dyDescent="0.35">
      <c r="A1328" s="21">
        <v>7</v>
      </c>
      <c r="B1328" s="38" t="s">
        <v>169</v>
      </c>
      <c r="C1328" s="38" t="s">
        <v>66</v>
      </c>
      <c r="D1328" s="39">
        <v>0</v>
      </c>
      <c r="E1328" s="39">
        <v>5</v>
      </c>
      <c r="F1328" s="18">
        <f t="shared" si="40"/>
        <v>75</v>
      </c>
      <c r="G1328" s="18">
        <f t="shared" si="41"/>
        <v>70</v>
      </c>
    </row>
    <row r="1329" spans="1:7" x14ac:dyDescent="0.35">
      <c r="A1329" s="21">
        <v>8</v>
      </c>
      <c r="B1329" s="38" t="s">
        <v>169</v>
      </c>
      <c r="C1329" s="38" t="s">
        <v>66</v>
      </c>
      <c r="D1329" s="39">
        <v>0</v>
      </c>
      <c r="E1329" s="39">
        <v>8</v>
      </c>
      <c r="F1329" s="18">
        <f t="shared" si="40"/>
        <v>70</v>
      </c>
      <c r="G1329" s="18">
        <f t="shared" si="41"/>
        <v>62</v>
      </c>
    </row>
    <row r="1330" spans="1:7" x14ac:dyDescent="0.35">
      <c r="A1330" s="21">
        <v>9</v>
      </c>
      <c r="B1330" s="38" t="s">
        <v>169</v>
      </c>
      <c r="C1330" s="38" t="s">
        <v>66</v>
      </c>
      <c r="D1330" s="39">
        <v>0</v>
      </c>
      <c r="E1330" s="39">
        <v>6</v>
      </c>
      <c r="F1330" s="18">
        <f t="shared" si="40"/>
        <v>62</v>
      </c>
      <c r="G1330" s="18">
        <f t="shared" si="41"/>
        <v>56</v>
      </c>
    </row>
    <row r="1331" spans="1:7" x14ac:dyDescent="0.35">
      <c r="A1331" s="21">
        <v>10</v>
      </c>
      <c r="B1331" s="38" t="s">
        <v>169</v>
      </c>
      <c r="C1331" s="38" t="s">
        <v>66</v>
      </c>
      <c r="D1331" s="39">
        <v>0</v>
      </c>
      <c r="E1331" s="39">
        <v>6</v>
      </c>
      <c r="F1331" s="18">
        <f t="shared" si="40"/>
        <v>56</v>
      </c>
      <c r="G1331" s="18">
        <f t="shared" si="41"/>
        <v>50</v>
      </c>
    </row>
    <row r="1332" spans="1:7" x14ac:dyDescent="0.35">
      <c r="A1332" s="21">
        <v>11</v>
      </c>
      <c r="B1332" s="38" t="s">
        <v>169</v>
      </c>
      <c r="C1332" s="38" t="s">
        <v>66</v>
      </c>
      <c r="D1332" s="39">
        <v>0</v>
      </c>
      <c r="E1332" s="39">
        <v>8</v>
      </c>
      <c r="F1332" s="18">
        <f t="shared" si="40"/>
        <v>50</v>
      </c>
      <c r="G1332" s="18">
        <f t="shared" si="41"/>
        <v>42</v>
      </c>
    </row>
    <row r="1333" spans="1:7" x14ac:dyDescent="0.35">
      <c r="A1333" s="21">
        <v>12</v>
      </c>
      <c r="B1333" s="38" t="s">
        <v>169</v>
      </c>
      <c r="C1333" s="38" t="s">
        <v>66</v>
      </c>
      <c r="D1333" s="39">
        <v>0</v>
      </c>
      <c r="E1333" s="39">
        <v>6</v>
      </c>
      <c r="F1333" s="18">
        <f t="shared" si="40"/>
        <v>42</v>
      </c>
      <c r="G1333" s="18">
        <f t="shared" si="41"/>
        <v>36</v>
      </c>
    </row>
    <row r="1334" spans="1:7" x14ac:dyDescent="0.35">
      <c r="A1334" s="21">
        <v>1</v>
      </c>
      <c r="B1334" s="38" t="s">
        <v>169</v>
      </c>
      <c r="C1334" s="38" t="s">
        <v>68</v>
      </c>
      <c r="D1334" s="39">
        <v>139</v>
      </c>
      <c r="E1334" s="39">
        <v>9</v>
      </c>
      <c r="F1334" s="18">
        <f t="shared" si="40"/>
        <v>0</v>
      </c>
      <c r="G1334" s="18">
        <f t="shared" si="41"/>
        <v>130</v>
      </c>
    </row>
    <row r="1335" spans="1:7" x14ac:dyDescent="0.35">
      <c r="A1335" s="21">
        <v>2</v>
      </c>
      <c r="B1335" s="38" t="s">
        <v>169</v>
      </c>
      <c r="C1335" s="38" t="s">
        <v>68</v>
      </c>
      <c r="D1335" s="39">
        <v>0</v>
      </c>
      <c r="E1335" s="39">
        <v>7</v>
      </c>
      <c r="F1335" s="18">
        <f t="shared" si="40"/>
        <v>130</v>
      </c>
      <c r="G1335" s="18">
        <f t="shared" si="41"/>
        <v>123</v>
      </c>
    </row>
    <row r="1336" spans="1:7" x14ac:dyDescent="0.35">
      <c r="A1336" s="21">
        <v>3</v>
      </c>
      <c r="B1336" s="38" t="s">
        <v>169</v>
      </c>
      <c r="C1336" s="38" t="s">
        <v>68</v>
      </c>
      <c r="D1336" s="39">
        <v>0</v>
      </c>
      <c r="E1336" s="39">
        <v>8</v>
      </c>
      <c r="F1336" s="18">
        <f t="shared" si="40"/>
        <v>123</v>
      </c>
      <c r="G1336" s="18">
        <f t="shared" si="41"/>
        <v>115</v>
      </c>
    </row>
    <row r="1337" spans="1:7" x14ac:dyDescent="0.35">
      <c r="A1337" s="21">
        <v>4</v>
      </c>
      <c r="B1337" s="38" t="s">
        <v>169</v>
      </c>
      <c r="C1337" s="38" t="s">
        <v>68</v>
      </c>
      <c r="D1337" s="39">
        <v>0</v>
      </c>
      <c r="E1337" s="39">
        <v>7</v>
      </c>
      <c r="F1337" s="18">
        <f t="shared" si="40"/>
        <v>115</v>
      </c>
      <c r="G1337" s="18">
        <f t="shared" si="41"/>
        <v>108</v>
      </c>
    </row>
    <row r="1338" spans="1:7" x14ac:dyDescent="0.35">
      <c r="A1338" s="21">
        <v>5</v>
      </c>
      <c r="B1338" s="38" t="s">
        <v>169</v>
      </c>
      <c r="C1338" s="38" t="s">
        <v>68</v>
      </c>
      <c r="D1338" s="39">
        <v>0</v>
      </c>
      <c r="E1338" s="39">
        <v>7</v>
      </c>
      <c r="F1338" s="18">
        <f t="shared" si="40"/>
        <v>108</v>
      </c>
      <c r="G1338" s="18">
        <f t="shared" si="41"/>
        <v>101</v>
      </c>
    </row>
    <row r="1339" spans="1:7" x14ac:dyDescent="0.35">
      <c r="A1339" s="21">
        <v>6</v>
      </c>
      <c r="B1339" s="38" t="s">
        <v>169</v>
      </c>
      <c r="C1339" s="38" t="s">
        <v>68</v>
      </c>
      <c r="D1339" s="39">
        <v>0</v>
      </c>
      <c r="E1339" s="39">
        <v>11</v>
      </c>
      <c r="F1339" s="18">
        <f t="shared" si="40"/>
        <v>101</v>
      </c>
      <c r="G1339" s="18">
        <f t="shared" si="41"/>
        <v>90</v>
      </c>
    </row>
    <row r="1340" spans="1:7" x14ac:dyDescent="0.35">
      <c r="A1340" s="21">
        <v>7</v>
      </c>
      <c r="B1340" s="38" t="s">
        <v>169</v>
      </c>
      <c r="C1340" s="38" t="s">
        <v>68</v>
      </c>
      <c r="D1340" s="39">
        <v>0</v>
      </c>
      <c r="E1340" s="39">
        <v>9</v>
      </c>
      <c r="F1340" s="18">
        <f t="shared" si="40"/>
        <v>90</v>
      </c>
      <c r="G1340" s="18">
        <f t="shared" si="41"/>
        <v>81</v>
      </c>
    </row>
    <row r="1341" spans="1:7" x14ac:dyDescent="0.35">
      <c r="A1341" s="21">
        <v>8</v>
      </c>
      <c r="B1341" s="38" t="s">
        <v>169</v>
      </c>
      <c r="C1341" s="38" t="s">
        <v>68</v>
      </c>
      <c r="D1341" s="39">
        <v>0</v>
      </c>
      <c r="E1341" s="39">
        <v>8</v>
      </c>
      <c r="F1341" s="18">
        <f t="shared" si="40"/>
        <v>81</v>
      </c>
      <c r="G1341" s="18">
        <f t="shared" si="41"/>
        <v>73</v>
      </c>
    </row>
    <row r="1342" spans="1:7" x14ac:dyDescent="0.35">
      <c r="A1342" s="21">
        <v>9</v>
      </c>
      <c r="B1342" s="38" t="s">
        <v>169</v>
      </c>
      <c r="C1342" s="38" t="s">
        <v>68</v>
      </c>
      <c r="D1342" s="39">
        <v>0</v>
      </c>
      <c r="E1342" s="39">
        <v>8</v>
      </c>
      <c r="F1342" s="18">
        <f t="shared" si="40"/>
        <v>73</v>
      </c>
      <c r="G1342" s="18">
        <f t="shared" si="41"/>
        <v>65</v>
      </c>
    </row>
    <row r="1343" spans="1:7" x14ac:dyDescent="0.35">
      <c r="A1343" s="21">
        <v>10</v>
      </c>
      <c r="B1343" s="38" t="s">
        <v>169</v>
      </c>
      <c r="C1343" s="38" t="s">
        <v>68</v>
      </c>
      <c r="D1343" s="39">
        <v>0</v>
      </c>
      <c r="E1343" s="39">
        <v>8</v>
      </c>
      <c r="F1343" s="18">
        <f t="shared" si="40"/>
        <v>65</v>
      </c>
      <c r="G1343" s="18">
        <f t="shared" si="41"/>
        <v>57</v>
      </c>
    </row>
    <row r="1344" spans="1:7" x14ac:dyDescent="0.35">
      <c r="A1344" s="21">
        <v>11</v>
      </c>
      <c r="B1344" s="38" t="s">
        <v>169</v>
      </c>
      <c r="C1344" s="38" t="s">
        <v>68</v>
      </c>
      <c r="D1344" s="39">
        <v>0</v>
      </c>
      <c r="E1344" s="39">
        <v>9</v>
      </c>
      <c r="F1344" s="18">
        <f t="shared" si="40"/>
        <v>57</v>
      </c>
      <c r="G1344" s="18">
        <f t="shared" si="41"/>
        <v>48</v>
      </c>
    </row>
    <row r="1345" spans="1:7" x14ac:dyDescent="0.35">
      <c r="A1345" s="21">
        <v>12</v>
      </c>
      <c r="B1345" s="38" t="s">
        <v>169</v>
      </c>
      <c r="C1345" s="38" t="s">
        <v>68</v>
      </c>
      <c r="D1345" s="39">
        <v>0</v>
      </c>
      <c r="E1345" s="39">
        <v>11</v>
      </c>
      <c r="F1345" s="18">
        <f t="shared" si="40"/>
        <v>48</v>
      </c>
      <c r="G1345" s="18">
        <f t="shared" si="41"/>
        <v>37</v>
      </c>
    </row>
    <row r="1346" spans="1:7" x14ac:dyDescent="0.35">
      <c r="A1346" s="21">
        <v>1</v>
      </c>
      <c r="B1346" s="38" t="s">
        <v>171</v>
      </c>
      <c r="C1346" s="38" t="s">
        <v>62</v>
      </c>
      <c r="D1346" s="39">
        <v>116</v>
      </c>
      <c r="E1346" s="39">
        <v>7</v>
      </c>
      <c r="F1346" s="18">
        <f t="shared" ref="F1346:F1409" si="42">IF(A1346=1,0,G1345)</f>
        <v>0</v>
      </c>
      <c r="G1346" s="18">
        <f t="shared" ref="G1346:G1409" si="43">F1346+D1346-E1346</f>
        <v>109</v>
      </c>
    </row>
    <row r="1347" spans="1:7" x14ac:dyDescent="0.35">
      <c r="A1347" s="21">
        <v>2</v>
      </c>
      <c r="B1347" s="38" t="s">
        <v>171</v>
      </c>
      <c r="C1347" s="38" t="s">
        <v>62</v>
      </c>
      <c r="D1347" s="39">
        <v>0</v>
      </c>
      <c r="E1347" s="39">
        <v>7</v>
      </c>
      <c r="F1347" s="18">
        <f t="shared" si="42"/>
        <v>109</v>
      </c>
      <c r="G1347" s="18">
        <f t="shared" si="43"/>
        <v>102</v>
      </c>
    </row>
    <row r="1348" spans="1:7" x14ac:dyDescent="0.35">
      <c r="A1348" s="21">
        <v>3</v>
      </c>
      <c r="B1348" s="38" t="s">
        <v>171</v>
      </c>
      <c r="C1348" s="38" t="s">
        <v>62</v>
      </c>
      <c r="D1348" s="39">
        <v>0</v>
      </c>
      <c r="E1348" s="39">
        <v>8</v>
      </c>
      <c r="F1348" s="18">
        <f t="shared" si="42"/>
        <v>102</v>
      </c>
      <c r="G1348" s="18">
        <f t="shared" si="43"/>
        <v>94</v>
      </c>
    </row>
    <row r="1349" spans="1:7" x14ac:dyDescent="0.35">
      <c r="A1349" s="21">
        <v>4</v>
      </c>
      <c r="B1349" s="38" t="s">
        <v>171</v>
      </c>
      <c r="C1349" s="38" t="s">
        <v>62</v>
      </c>
      <c r="D1349" s="39">
        <v>0</v>
      </c>
      <c r="E1349" s="39">
        <v>7</v>
      </c>
      <c r="F1349" s="18">
        <f t="shared" si="42"/>
        <v>94</v>
      </c>
      <c r="G1349" s="18">
        <f t="shared" si="43"/>
        <v>87</v>
      </c>
    </row>
    <row r="1350" spans="1:7" x14ac:dyDescent="0.35">
      <c r="A1350" s="21">
        <v>5</v>
      </c>
      <c r="B1350" s="38" t="s">
        <v>171</v>
      </c>
      <c r="C1350" s="38" t="s">
        <v>62</v>
      </c>
      <c r="D1350" s="39">
        <v>0</v>
      </c>
      <c r="E1350" s="39">
        <v>8</v>
      </c>
      <c r="F1350" s="18">
        <f t="shared" si="42"/>
        <v>87</v>
      </c>
      <c r="G1350" s="18">
        <f t="shared" si="43"/>
        <v>79</v>
      </c>
    </row>
    <row r="1351" spans="1:7" x14ac:dyDescent="0.35">
      <c r="A1351" s="21">
        <v>6</v>
      </c>
      <c r="B1351" s="38" t="s">
        <v>171</v>
      </c>
      <c r="C1351" s="38" t="s">
        <v>62</v>
      </c>
      <c r="D1351" s="39">
        <v>0</v>
      </c>
      <c r="E1351" s="39">
        <v>8</v>
      </c>
      <c r="F1351" s="18">
        <f t="shared" si="42"/>
        <v>79</v>
      </c>
      <c r="G1351" s="18">
        <f t="shared" si="43"/>
        <v>71</v>
      </c>
    </row>
    <row r="1352" spans="1:7" x14ac:dyDescent="0.35">
      <c r="A1352" s="21">
        <v>7</v>
      </c>
      <c r="B1352" s="38" t="s">
        <v>171</v>
      </c>
      <c r="C1352" s="38" t="s">
        <v>62</v>
      </c>
      <c r="D1352" s="39">
        <v>0</v>
      </c>
      <c r="E1352" s="39">
        <v>7</v>
      </c>
      <c r="F1352" s="18">
        <f t="shared" si="42"/>
        <v>71</v>
      </c>
      <c r="G1352" s="18">
        <f t="shared" si="43"/>
        <v>64</v>
      </c>
    </row>
    <row r="1353" spans="1:7" x14ac:dyDescent="0.35">
      <c r="A1353" s="21">
        <v>8</v>
      </c>
      <c r="B1353" s="38" t="s">
        <v>171</v>
      </c>
      <c r="C1353" s="38" t="s">
        <v>62</v>
      </c>
      <c r="D1353" s="39">
        <v>0</v>
      </c>
      <c r="E1353" s="39">
        <v>7</v>
      </c>
      <c r="F1353" s="18">
        <f t="shared" si="42"/>
        <v>64</v>
      </c>
      <c r="G1353" s="18">
        <f t="shared" si="43"/>
        <v>57</v>
      </c>
    </row>
    <row r="1354" spans="1:7" x14ac:dyDescent="0.35">
      <c r="A1354" s="21">
        <v>9</v>
      </c>
      <c r="B1354" s="38" t="s">
        <v>171</v>
      </c>
      <c r="C1354" s="38" t="s">
        <v>62</v>
      </c>
      <c r="D1354" s="39">
        <v>0</v>
      </c>
      <c r="E1354" s="39">
        <v>7</v>
      </c>
      <c r="F1354" s="18">
        <f t="shared" si="42"/>
        <v>57</v>
      </c>
      <c r="G1354" s="18">
        <f t="shared" si="43"/>
        <v>50</v>
      </c>
    </row>
    <row r="1355" spans="1:7" x14ac:dyDescent="0.35">
      <c r="A1355" s="21">
        <v>10</v>
      </c>
      <c r="B1355" s="38" t="s">
        <v>171</v>
      </c>
      <c r="C1355" s="38" t="s">
        <v>62</v>
      </c>
      <c r="D1355" s="39">
        <v>0</v>
      </c>
      <c r="E1355" s="39">
        <v>6</v>
      </c>
      <c r="F1355" s="18">
        <f t="shared" si="42"/>
        <v>50</v>
      </c>
      <c r="G1355" s="18">
        <f t="shared" si="43"/>
        <v>44</v>
      </c>
    </row>
    <row r="1356" spans="1:7" x14ac:dyDescent="0.35">
      <c r="A1356" s="21">
        <v>11</v>
      </c>
      <c r="B1356" s="38" t="s">
        <v>171</v>
      </c>
      <c r="C1356" s="38" t="s">
        <v>62</v>
      </c>
      <c r="D1356" s="39">
        <v>0</v>
      </c>
      <c r="E1356" s="39">
        <v>6</v>
      </c>
      <c r="F1356" s="18">
        <f t="shared" si="42"/>
        <v>44</v>
      </c>
      <c r="G1356" s="18">
        <f t="shared" si="43"/>
        <v>38</v>
      </c>
    </row>
    <row r="1357" spans="1:7" x14ac:dyDescent="0.35">
      <c r="A1357" s="21">
        <v>12</v>
      </c>
      <c r="B1357" s="38" t="s">
        <v>171</v>
      </c>
      <c r="C1357" s="38" t="s">
        <v>62</v>
      </c>
      <c r="D1357" s="39">
        <v>0</v>
      </c>
      <c r="E1357" s="39">
        <v>8</v>
      </c>
      <c r="F1357" s="18">
        <f t="shared" si="42"/>
        <v>38</v>
      </c>
      <c r="G1357" s="18">
        <f t="shared" si="43"/>
        <v>30</v>
      </c>
    </row>
    <row r="1358" spans="1:7" x14ac:dyDescent="0.35">
      <c r="A1358" s="21">
        <v>1</v>
      </c>
      <c r="B1358" s="38" t="s">
        <v>171</v>
      </c>
      <c r="C1358" s="38" t="s">
        <v>64</v>
      </c>
      <c r="D1358" s="39">
        <v>156</v>
      </c>
      <c r="E1358" s="39">
        <v>8</v>
      </c>
      <c r="F1358" s="18">
        <f t="shared" si="42"/>
        <v>0</v>
      </c>
      <c r="G1358" s="18">
        <f t="shared" si="43"/>
        <v>148</v>
      </c>
    </row>
    <row r="1359" spans="1:7" x14ac:dyDescent="0.35">
      <c r="A1359" s="21">
        <v>2</v>
      </c>
      <c r="B1359" s="38" t="s">
        <v>171</v>
      </c>
      <c r="C1359" s="38" t="s">
        <v>64</v>
      </c>
      <c r="D1359" s="39">
        <v>0</v>
      </c>
      <c r="E1359" s="39">
        <v>10</v>
      </c>
      <c r="F1359" s="18">
        <f t="shared" si="42"/>
        <v>148</v>
      </c>
      <c r="G1359" s="18">
        <f t="shared" si="43"/>
        <v>138</v>
      </c>
    </row>
    <row r="1360" spans="1:7" x14ac:dyDescent="0.35">
      <c r="A1360" s="21">
        <v>3</v>
      </c>
      <c r="B1360" s="38" t="s">
        <v>171</v>
      </c>
      <c r="C1360" s="38" t="s">
        <v>64</v>
      </c>
      <c r="D1360" s="39">
        <v>0</v>
      </c>
      <c r="E1360" s="39">
        <v>11</v>
      </c>
      <c r="F1360" s="18">
        <f t="shared" si="42"/>
        <v>138</v>
      </c>
      <c r="G1360" s="18">
        <f t="shared" si="43"/>
        <v>127</v>
      </c>
    </row>
    <row r="1361" spans="1:7" x14ac:dyDescent="0.35">
      <c r="A1361" s="21">
        <v>4</v>
      </c>
      <c r="B1361" s="38" t="s">
        <v>171</v>
      </c>
      <c r="C1361" s="38" t="s">
        <v>64</v>
      </c>
      <c r="D1361" s="39">
        <v>0</v>
      </c>
      <c r="E1361" s="39">
        <v>8</v>
      </c>
      <c r="F1361" s="18">
        <f t="shared" si="42"/>
        <v>127</v>
      </c>
      <c r="G1361" s="18">
        <f t="shared" si="43"/>
        <v>119</v>
      </c>
    </row>
    <row r="1362" spans="1:7" x14ac:dyDescent="0.35">
      <c r="A1362" s="21">
        <v>5</v>
      </c>
      <c r="B1362" s="38" t="s">
        <v>171</v>
      </c>
      <c r="C1362" s="38" t="s">
        <v>64</v>
      </c>
      <c r="D1362" s="39">
        <v>0</v>
      </c>
      <c r="E1362" s="39">
        <v>12</v>
      </c>
      <c r="F1362" s="18">
        <f t="shared" si="42"/>
        <v>119</v>
      </c>
      <c r="G1362" s="18">
        <f t="shared" si="43"/>
        <v>107</v>
      </c>
    </row>
    <row r="1363" spans="1:7" x14ac:dyDescent="0.35">
      <c r="A1363" s="21">
        <v>6</v>
      </c>
      <c r="B1363" s="38" t="s">
        <v>171</v>
      </c>
      <c r="C1363" s="38" t="s">
        <v>64</v>
      </c>
      <c r="D1363" s="39">
        <v>0</v>
      </c>
      <c r="E1363" s="39">
        <v>12</v>
      </c>
      <c r="F1363" s="18">
        <f t="shared" si="42"/>
        <v>107</v>
      </c>
      <c r="G1363" s="18">
        <f t="shared" si="43"/>
        <v>95</v>
      </c>
    </row>
    <row r="1364" spans="1:7" x14ac:dyDescent="0.35">
      <c r="A1364" s="21">
        <v>7</v>
      </c>
      <c r="B1364" s="38" t="s">
        <v>171</v>
      </c>
      <c r="C1364" s="38" t="s">
        <v>64</v>
      </c>
      <c r="D1364" s="39">
        <v>0</v>
      </c>
      <c r="E1364" s="39">
        <v>10</v>
      </c>
      <c r="F1364" s="18">
        <f t="shared" si="42"/>
        <v>95</v>
      </c>
      <c r="G1364" s="18">
        <f t="shared" si="43"/>
        <v>85</v>
      </c>
    </row>
    <row r="1365" spans="1:7" x14ac:dyDescent="0.35">
      <c r="A1365" s="21">
        <v>8</v>
      </c>
      <c r="B1365" s="38" t="s">
        <v>171</v>
      </c>
      <c r="C1365" s="38" t="s">
        <v>64</v>
      </c>
      <c r="D1365" s="39">
        <v>0</v>
      </c>
      <c r="E1365" s="39">
        <v>11</v>
      </c>
      <c r="F1365" s="18">
        <f t="shared" si="42"/>
        <v>85</v>
      </c>
      <c r="G1365" s="18">
        <f t="shared" si="43"/>
        <v>74</v>
      </c>
    </row>
    <row r="1366" spans="1:7" x14ac:dyDescent="0.35">
      <c r="A1366" s="21">
        <v>9</v>
      </c>
      <c r="B1366" s="38" t="s">
        <v>171</v>
      </c>
      <c r="C1366" s="38" t="s">
        <v>64</v>
      </c>
      <c r="D1366" s="39">
        <v>0</v>
      </c>
      <c r="E1366" s="39">
        <v>7</v>
      </c>
      <c r="F1366" s="18">
        <f t="shared" si="42"/>
        <v>74</v>
      </c>
      <c r="G1366" s="18">
        <f t="shared" si="43"/>
        <v>67</v>
      </c>
    </row>
    <row r="1367" spans="1:7" x14ac:dyDescent="0.35">
      <c r="A1367" s="21">
        <v>10</v>
      </c>
      <c r="B1367" s="38" t="s">
        <v>171</v>
      </c>
      <c r="C1367" s="38" t="s">
        <v>64</v>
      </c>
      <c r="D1367" s="39">
        <v>0</v>
      </c>
      <c r="E1367" s="39">
        <v>12</v>
      </c>
      <c r="F1367" s="18">
        <f t="shared" si="42"/>
        <v>67</v>
      </c>
      <c r="G1367" s="18">
        <f t="shared" si="43"/>
        <v>55</v>
      </c>
    </row>
    <row r="1368" spans="1:7" x14ac:dyDescent="0.35">
      <c r="A1368" s="21">
        <v>11</v>
      </c>
      <c r="B1368" s="38" t="s">
        <v>171</v>
      </c>
      <c r="C1368" s="38" t="s">
        <v>64</v>
      </c>
      <c r="D1368" s="39">
        <v>0</v>
      </c>
      <c r="E1368" s="39">
        <v>9</v>
      </c>
      <c r="F1368" s="18">
        <f t="shared" si="42"/>
        <v>55</v>
      </c>
      <c r="G1368" s="18">
        <f t="shared" si="43"/>
        <v>46</v>
      </c>
    </row>
    <row r="1369" spans="1:7" x14ac:dyDescent="0.35">
      <c r="A1369" s="21">
        <v>12</v>
      </c>
      <c r="B1369" s="38" t="s">
        <v>171</v>
      </c>
      <c r="C1369" s="38" t="s">
        <v>64</v>
      </c>
      <c r="D1369" s="39">
        <v>0</v>
      </c>
      <c r="E1369" s="39">
        <v>12</v>
      </c>
      <c r="F1369" s="18">
        <f t="shared" si="42"/>
        <v>46</v>
      </c>
      <c r="G1369" s="18">
        <f t="shared" si="43"/>
        <v>34</v>
      </c>
    </row>
    <row r="1370" spans="1:7" x14ac:dyDescent="0.35">
      <c r="A1370" s="21">
        <v>1</v>
      </c>
      <c r="B1370" s="38" t="s">
        <v>171</v>
      </c>
      <c r="C1370" s="38" t="s">
        <v>66</v>
      </c>
      <c r="D1370" s="39">
        <v>102</v>
      </c>
      <c r="E1370" s="39">
        <v>4</v>
      </c>
      <c r="F1370" s="18">
        <f t="shared" si="42"/>
        <v>0</v>
      </c>
      <c r="G1370" s="18">
        <f t="shared" si="43"/>
        <v>98</v>
      </c>
    </row>
    <row r="1371" spans="1:7" x14ac:dyDescent="0.35">
      <c r="A1371" s="21">
        <v>2</v>
      </c>
      <c r="B1371" s="38" t="s">
        <v>171</v>
      </c>
      <c r="C1371" s="38" t="s">
        <v>66</v>
      </c>
      <c r="D1371" s="39">
        <v>0</v>
      </c>
      <c r="E1371" s="39">
        <v>4</v>
      </c>
      <c r="F1371" s="18">
        <f t="shared" si="42"/>
        <v>98</v>
      </c>
      <c r="G1371" s="18">
        <f t="shared" si="43"/>
        <v>94</v>
      </c>
    </row>
    <row r="1372" spans="1:7" x14ac:dyDescent="0.35">
      <c r="A1372" s="21">
        <v>3</v>
      </c>
      <c r="B1372" s="38" t="s">
        <v>171</v>
      </c>
      <c r="C1372" s="38" t="s">
        <v>66</v>
      </c>
      <c r="D1372" s="39">
        <v>0</v>
      </c>
      <c r="E1372" s="39">
        <v>7</v>
      </c>
      <c r="F1372" s="18">
        <f t="shared" si="42"/>
        <v>94</v>
      </c>
      <c r="G1372" s="18">
        <f t="shared" si="43"/>
        <v>87</v>
      </c>
    </row>
    <row r="1373" spans="1:7" x14ac:dyDescent="0.35">
      <c r="A1373" s="21">
        <v>4</v>
      </c>
      <c r="B1373" s="38" t="s">
        <v>171</v>
      </c>
      <c r="C1373" s="38" t="s">
        <v>66</v>
      </c>
      <c r="D1373" s="39">
        <v>0</v>
      </c>
      <c r="E1373" s="39">
        <v>6</v>
      </c>
      <c r="F1373" s="18">
        <f t="shared" si="42"/>
        <v>87</v>
      </c>
      <c r="G1373" s="18">
        <f t="shared" si="43"/>
        <v>81</v>
      </c>
    </row>
    <row r="1374" spans="1:7" x14ac:dyDescent="0.35">
      <c r="A1374" s="21">
        <v>5</v>
      </c>
      <c r="B1374" s="38" t="s">
        <v>171</v>
      </c>
      <c r="C1374" s="38" t="s">
        <v>66</v>
      </c>
      <c r="D1374" s="39">
        <v>0</v>
      </c>
      <c r="E1374" s="39">
        <v>4</v>
      </c>
      <c r="F1374" s="18">
        <f t="shared" si="42"/>
        <v>81</v>
      </c>
      <c r="G1374" s="18">
        <f t="shared" si="43"/>
        <v>77</v>
      </c>
    </row>
    <row r="1375" spans="1:7" x14ac:dyDescent="0.35">
      <c r="A1375" s="21">
        <v>6</v>
      </c>
      <c r="B1375" s="38" t="s">
        <v>171</v>
      </c>
      <c r="C1375" s="38" t="s">
        <v>66</v>
      </c>
      <c r="D1375" s="39">
        <v>0</v>
      </c>
      <c r="E1375" s="39">
        <v>7</v>
      </c>
      <c r="F1375" s="18">
        <f t="shared" si="42"/>
        <v>77</v>
      </c>
      <c r="G1375" s="18">
        <f t="shared" si="43"/>
        <v>70</v>
      </c>
    </row>
    <row r="1376" spans="1:7" x14ac:dyDescent="0.35">
      <c r="A1376" s="21">
        <v>7</v>
      </c>
      <c r="B1376" s="38" t="s">
        <v>171</v>
      </c>
      <c r="C1376" s="38" t="s">
        <v>66</v>
      </c>
      <c r="D1376" s="39">
        <v>0</v>
      </c>
      <c r="E1376" s="39">
        <v>8</v>
      </c>
      <c r="F1376" s="18">
        <f t="shared" si="42"/>
        <v>70</v>
      </c>
      <c r="G1376" s="18">
        <f t="shared" si="43"/>
        <v>62</v>
      </c>
    </row>
    <row r="1377" spans="1:7" x14ac:dyDescent="0.35">
      <c r="A1377" s="21">
        <v>8</v>
      </c>
      <c r="B1377" s="38" t="s">
        <v>171</v>
      </c>
      <c r="C1377" s="38" t="s">
        <v>66</v>
      </c>
      <c r="D1377" s="39">
        <v>0</v>
      </c>
      <c r="E1377" s="39">
        <v>6</v>
      </c>
      <c r="F1377" s="18">
        <f t="shared" si="42"/>
        <v>62</v>
      </c>
      <c r="G1377" s="18">
        <f t="shared" si="43"/>
        <v>56</v>
      </c>
    </row>
    <row r="1378" spans="1:7" x14ac:dyDescent="0.35">
      <c r="A1378" s="21">
        <v>9</v>
      </c>
      <c r="B1378" s="38" t="s">
        <v>171</v>
      </c>
      <c r="C1378" s="38" t="s">
        <v>66</v>
      </c>
      <c r="D1378" s="39">
        <v>0</v>
      </c>
      <c r="E1378" s="39">
        <v>6</v>
      </c>
      <c r="F1378" s="18">
        <f t="shared" si="42"/>
        <v>56</v>
      </c>
      <c r="G1378" s="18">
        <f t="shared" si="43"/>
        <v>50</v>
      </c>
    </row>
    <row r="1379" spans="1:7" x14ac:dyDescent="0.35">
      <c r="A1379" s="21">
        <v>10</v>
      </c>
      <c r="B1379" s="38" t="s">
        <v>171</v>
      </c>
      <c r="C1379" s="38" t="s">
        <v>66</v>
      </c>
      <c r="D1379" s="39">
        <v>0</v>
      </c>
      <c r="E1379" s="39">
        <v>4</v>
      </c>
      <c r="F1379" s="18">
        <f t="shared" si="42"/>
        <v>50</v>
      </c>
      <c r="G1379" s="18">
        <f t="shared" si="43"/>
        <v>46</v>
      </c>
    </row>
    <row r="1380" spans="1:7" x14ac:dyDescent="0.35">
      <c r="A1380" s="21">
        <v>11</v>
      </c>
      <c r="B1380" s="38" t="s">
        <v>171</v>
      </c>
      <c r="C1380" s="38" t="s">
        <v>66</v>
      </c>
      <c r="D1380" s="39">
        <v>0</v>
      </c>
      <c r="E1380" s="39">
        <v>7</v>
      </c>
      <c r="F1380" s="18">
        <f t="shared" si="42"/>
        <v>46</v>
      </c>
      <c r="G1380" s="18">
        <f t="shared" si="43"/>
        <v>39</v>
      </c>
    </row>
    <row r="1381" spans="1:7" x14ac:dyDescent="0.35">
      <c r="A1381" s="21">
        <v>12</v>
      </c>
      <c r="B1381" s="38" t="s">
        <v>171</v>
      </c>
      <c r="C1381" s="38" t="s">
        <v>66</v>
      </c>
      <c r="D1381" s="39">
        <v>0</v>
      </c>
      <c r="E1381" s="39">
        <v>6</v>
      </c>
      <c r="F1381" s="18">
        <f t="shared" si="42"/>
        <v>39</v>
      </c>
      <c r="G1381" s="18">
        <f t="shared" si="43"/>
        <v>33</v>
      </c>
    </row>
    <row r="1382" spans="1:7" x14ac:dyDescent="0.35">
      <c r="A1382" s="21">
        <v>1</v>
      </c>
      <c r="B1382" s="38" t="s">
        <v>171</v>
      </c>
      <c r="C1382" s="38" t="s">
        <v>68</v>
      </c>
      <c r="D1382" s="39">
        <v>146</v>
      </c>
      <c r="E1382" s="39">
        <v>8</v>
      </c>
      <c r="F1382" s="18">
        <f t="shared" si="42"/>
        <v>0</v>
      </c>
      <c r="G1382" s="18">
        <f t="shared" si="43"/>
        <v>138</v>
      </c>
    </row>
    <row r="1383" spans="1:7" x14ac:dyDescent="0.35">
      <c r="A1383" s="21">
        <v>2</v>
      </c>
      <c r="B1383" s="38" t="s">
        <v>171</v>
      </c>
      <c r="C1383" s="38" t="s">
        <v>68</v>
      </c>
      <c r="D1383" s="39">
        <v>0</v>
      </c>
      <c r="E1383" s="39">
        <v>9</v>
      </c>
      <c r="F1383" s="18">
        <f t="shared" si="42"/>
        <v>138</v>
      </c>
      <c r="G1383" s="18">
        <f t="shared" si="43"/>
        <v>129</v>
      </c>
    </row>
    <row r="1384" spans="1:7" x14ac:dyDescent="0.35">
      <c r="A1384" s="21">
        <v>3</v>
      </c>
      <c r="B1384" s="38" t="s">
        <v>171</v>
      </c>
      <c r="C1384" s="38" t="s">
        <v>68</v>
      </c>
      <c r="D1384" s="39">
        <v>0</v>
      </c>
      <c r="E1384" s="39">
        <v>7</v>
      </c>
      <c r="F1384" s="18">
        <f t="shared" si="42"/>
        <v>129</v>
      </c>
      <c r="G1384" s="18">
        <f t="shared" si="43"/>
        <v>122</v>
      </c>
    </row>
    <row r="1385" spans="1:7" x14ac:dyDescent="0.35">
      <c r="A1385" s="21">
        <v>4</v>
      </c>
      <c r="B1385" s="38" t="s">
        <v>171</v>
      </c>
      <c r="C1385" s="38" t="s">
        <v>68</v>
      </c>
      <c r="D1385" s="39">
        <v>0</v>
      </c>
      <c r="E1385" s="39">
        <v>7</v>
      </c>
      <c r="F1385" s="18">
        <f t="shared" si="42"/>
        <v>122</v>
      </c>
      <c r="G1385" s="18">
        <f t="shared" si="43"/>
        <v>115</v>
      </c>
    </row>
    <row r="1386" spans="1:7" x14ac:dyDescent="0.35">
      <c r="A1386" s="21">
        <v>5</v>
      </c>
      <c r="B1386" s="38" t="s">
        <v>171</v>
      </c>
      <c r="C1386" s="38" t="s">
        <v>68</v>
      </c>
      <c r="D1386" s="39">
        <v>0</v>
      </c>
      <c r="E1386" s="39">
        <v>10</v>
      </c>
      <c r="F1386" s="18">
        <f t="shared" si="42"/>
        <v>115</v>
      </c>
      <c r="G1386" s="18">
        <f t="shared" si="43"/>
        <v>105</v>
      </c>
    </row>
    <row r="1387" spans="1:7" x14ac:dyDescent="0.35">
      <c r="A1387" s="21">
        <v>6</v>
      </c>
      <c r="B1387" s="38" t="s">
        <v>171</v>
      </c>
      <c r="C1387" s="38" t="s">
        <v>68</v>
      </c>
      <c r="D1387" s="39">
        <v>0</v>
      </c>
      <c r="E1387" s="39">
        <v>8</v>
      </c>
      <c r="F1387" s="18">
        <f t="shared" si="42"/>
        <v>105</v>
      </c>
      <c r="G1387" s="18">
        <f t="shared" si="43"/>
        <v>97</v>
      </c>
    </row>
    <row r="1388" spans="1:7" x14ac:dyDescent="0.35">
      <c r="A1388" s="21">
        <v>7</v>
      </c>
      <c r="B1388" s="38" t="s">
        <v>171</v>
      </c>
      <c r="C1388" s="38" t="s">
        <v>68</v>
      </c>
      <c r="D1388" s="39">
        <v>0</v>
      </c>
      <c r="E1388" s="39">
        <v>9</v>
      </c>
      <c r="F1388" s="18">
        <f t="shared" si="42"/>
        <v>97</v>
      </c>
      <c r="G1388" s="18">
        <f t="shared" si="43"/>
        <v>88</v>
      </c>
    </row>
    <row r="1389" spans="1:7" x14ac:dyDescent="0.35">
      <c r="A1389" s="21">
        <v>8</v>
      </c>
      <c r="B1389" s="38" t="s">
        <v>171</v>
      </c>
      <c r="C1389" s="38" t="s">
        <v>68</v>
      </c>
      <c r="D1389" s="39">
        <v>0</v>
      </c>
      <c r="E1389" s="39">
        <v>11</v>
      </c>
      <c r="F1389" s="18">
        <f t="shared" si="42"/>
        <v>88</v>
      </c>
      <c r="G1389" s="18">
        <f t="shared" si="43"/>
        <v>77</v>
      </c>
    </row>
    <row r="1390" spans="1:7" x14ac:dyDescent="0.35">
      <c r="A1390" s="21">
        <v>9</v>
      </c>
      <c r="B1390" s="38" t="s">
        <v>171</v>
      </c>
      <c r="C1390" s="38" t="s">
        <v>68</v>
      </c>
      <c r="D1390" s="39">
        <v>0</v>
      </c>
      <c r="E1390" s="39">
        <v>11</v>
      </c>
      <c r="F1390" s="18">
        <f t="shared" si="42"/>
        <v>77</v>
      </c>
      <c r="G1390" s="18">
        <f t="shared" si="43"/>
        <v>66</v>
      </c>
    </row>
    <row r="1391" spans="1:7" x14ac:dyDescent="0.35">
      <c r="A1391" s="21">
        <v>10</v>
      </c>
      <c r="B1391" s="38" t="s">
        <v>171</v>
      </c>
      <c r="C1391" s="38" t="s">
        <v>68</v>
      </c>
      <c r="D1391" s="39">
        <v>0</v>
      </c>
      <c r="E1391" s="39">
        <v>10</v>
      </c>
      <c r="F1391" s="18">
        <f t="shared" si="42"/>
        <v>66</v>
      </c>
      <c r="G1391" s="18">
        <f t="shared" si="43"/>
        <v>56</v>
      </c>
    </row>
    <row r="1392" spans="1:7" x14ac:dyDescent="0.35">
      <c r="A1392" s="21">
        <v>11</v>
      </c>
      <c r="B1392" s="38" t="s">
        <v>171</v>
      </c>
      <c r="C1392" s="38" t="s">
        <v>68</v>
      </c>
      <c r="D1392" s="39">
        <v>0</v>
      </c>
      <c r="E1392" s="39">
        <v>7</v>
      </c>
      <c r="F1392" s="18">
        <f t="shared" si="42"/>
        <v>56</v>
      </c>
      <c r="G1392" s="18">
        <f t="shared" si="43"/>
        <v>49</v>
      </c>
    </row>
    <row r="1393" spans="1:7" x14ac:dyDescent="0.35">
      <c r="A1393" s="21">
        <v>12</v>
      </c>
      <c r="B1393" s="38" t="s">
        <v>171</v>
      </c>
      <c r="C1393" s="38" t="s">
        <v>68</v>
      </c>
      <c r="D1393" s="39">
        <v>0</v>
      </c>
      <c r="E1393" s="39">
        <v>9</v>
      </c>
      <c r="F1393" s="18">
        <f t="shared" si="42"/>
        <v>49</v>
      </c>
      <c r="G1393" s="18">
        <f t="shared" si="43"/>
        <v>40</v>
      </c>
    </row>
    <row r="1394" spans="1:7" x14ac:dyDescent="0.35">
      <c r="A1394" s="21">
        <v>1</v>
      </c>
      <c r="B1394" s="38" t="s">
        <v>175</v>
      </c>
      <c r="C1394" s="38" t="s">
        <v>62</v>
      </c>
      <c r="D1394" s="39">
        <v>113</v>
      </c>
      <c r="E1394" s="39">
        <v>5</v>
      </c>
      <c r="F1394" s="18">
        <f t="shared" si="42"/>
        <v>0</v>
      </c>
      <c r="G1394" s="18">
        <f t="shared" si="43"/>
        <v>108</v>
      </c>
    </row>
    <row r="1395" spans="1:7" x14ac:dyDescent="0.35">
      <c r="A1395" s="21">
        <v>2</v>
      </c>
      <c r="B1395" s="38" t="s">
        <v>175</v>
      </c>
      <c r="C1395" s="38" t="s">
        <v>62</v>
      </c>
      <c r="D1395" s="39">
        <v>0</v>
      </c>
      <c r="E1395" s="39">
        <v>8</v>
      </c>
      <c r="F1395" s="18">
        <f t="shared" si="42"/>
        <v>108</v>
      </c>
      <c r="G1395" s="18">
        <f t="shared" si="43"/>
        <v>100</v>
      </c>
    </row>
    <row r="1396" spans="1:7" x14ac:dyDescent="0.35">
      <c r="A1396" s="21">
        <v>3</v>
      </c>
      <c r="B1396" s="38" t="s">
        <v>175</v>
      </c>
      <c r="C1396" s="38" t="s">
        <v>62</v>
      </c>
      <c r="D1396" s="39">
        <v>0</v>
      </c>
      <c r="E1396" s="39">
        <v>7</v>
      </c>
      <c r="F1396" s="18">
        <f t="shared" si="42"/>
        <v>100</v>
      </c>
      <c r="G1396" s="18">
        <f t="shared" si="43"/>
        <v>93</v>
      </c>
    </row>
    <row r="1397" spans="1:7" x14ac:dyDescent="0.35">
      <c r="A1397" s="21">
        <v>4</v>
      </c>
      <c r="B1397" s="38" t="s">
        <v>175</v>
      </c>
      <c r="C1397" s="38" t="s">
        <v>62</v>
      </c>
      <c r="D1397" s="39">
        <v>0</v>
      </c>
      <c r="E1397" s="39">
        <v>7</v>
      </c>
      <c r="F1397" s="18">
        <f t="shared" si="42"/>
        <v>93</v>
      </c>
      <c r="G1397" s="18">
        <f t="shared" si="43"/>
        <v>86</v>
      </c>
    </row>
    <row r="1398" spans="1:7" x14ac:dyDescent="0.35">
      <c r="A1398" s="21">
        <v>5</v>
      </c>
      <c r="B1398" s="38" t="s">
        <v>175</v>
      </c>
      <c r="C1398" s="38" t="s">
        <v>62</v>
      </c>
      <c r="D1398" s="39">
        <v>0</v>
      </c>
      <c r="E1398" s="39">
        <v>9</v>
      </c>
      <c r="F1398" s="18">
        <f t="shared" si="42"/>
        <v>86</v>
      </c>
      <c r="G1398" s="18">
        <f t="shared" si="43"/>
        <v>77</v>
      </c>
    </row>
    <row r="1399" spans="1:7" x14ac:dyDescent="0.35">
      <c r="A1399" s="21">
        <v>6</v>
      </c>
      <c r="B1399" s="38" t="s">
        <v>175</v>
      </c>
      <c r="C1399" s="38" t="s">
        <v>62</v>
      </c>
      <c r="D1399" s="39">
        <v>0</v>
      </c>
      <c r="E1399" s="39">
        <v>8</v>
      </c>
      <c r="F1399" s="18">
        <f t="shared" si="42"/>
        <v>77</v>
      </c>
      <c r="G1399" s="18">
        <f t="shared" si="43"/>
        <v>69</v>
      </c>
    </row>
    <row r="1400" spans="1:7" x14ac:dyDescent="0.35">
      <c r="A1400" s="21">
        <v>7</v>
      </c>
      <c r="B1400" s="38" t="s">
        <v>175</v>
      </c>
      <c r="C1400" s="38" t="s">
        <v>62</v>
      </c>
      <c r="D1400" s="39">
        <v>0</v>
      </c>
      <c r="E1400" s="39">
        <v>7</v>
      </c>
      <c r="F1400" s="18">
        <f t="shared" si="42"/>
        <v>69</v>
      </c>
      <c r="G1400" s="18">
        <f t="shared" si="43"/>
        <v>62</v>
      </c>
    </row>
    <row r="1401" spans="1:7" x14ac:dyDescent="0.35">
      <c r="A1401" s="21">
        <v>8</v>
      </c>
      <c r="B1401" s="38" t="s">
        <v>175</v>
      </c>
      <c r="C1401" s="38" t="s">
        <v>62</v>
      </c>
      <c r="D1401" s="39">
        <v>0</v>
      </c>
      <c r="E1401" s="39">
        <v>7</v>
      </c>
      <c r="F1401" s="18">
        <f t="shared" si="42"/>
        <v>62</v>
      </c>
      <c r="G1401" s="18">
        <f t="shared" si="43"/>
        <v>55</v>
      </c>
    </row>
    <row r="1402" spans="1:7" x14ac:dyDescent="0.35">
      <c r="A1402" s="21">
        <v>9</v>
      </c>
      <c r="B1402" s="38" t="s">
        <v>175</v>
      </c>
      <c r="C1402" s="38" t="s">
        <v>62</v>
      </c>
      <c r="D1402" s="39">
        <v>0</v>
      </c>
      <c r="E1402" s="39">
        <v>7</v>
      </c>
      <c r="F1402" s="18">
        <f t="shared" si="42"/>
        <v>55</v>
      </c>
      <c r="G1402" s="18">
        <f t="shared" si="43"/>
        <v>48</v>
      </c>
    </row>
    <row r="1403" spans="1:7" x14ac:dyDescent="0.35">
      <c r="A1403" s="21">
        <v>10</v>
      </c>
      <c r="B1403" s="38" t="s">
        <v>175</v>
      </c>
      <c r="C1403" s="38" t="s">
        <v>62</v>
      </c>
      <c r="D1403" s="39">
        <v>0</v>
      </c>
      <c r="E1403" s="39">
        <v>6</v>
      </c>
      <c r="F1403" s="18">
        <f t="shared" si="42"/>
        <v>48</v>
      </c>
      <c r="G1403" s="18">
        <f t="shared" si="43"/>
        <v>42</v>
      </c>
    </row>
    <row r="1404" spans="1:7" x14ac:dyDescent="0.35">
      <c r="A1404" s="21">
        <v>11</v>
      </c>
      <c r="B1404" s="38" t="s">
        <v>175</v>
      </c>
      <c r="C1404" s="38" t="s">
        <v>62</v>
      </c>
      <c r="D1404" s="39">
        <v>0</v>
      </c>
      <c r="E1404" s="39">
        <v>8</v>
      </c>
      <c r="F1404" s="18">
        <f t="shared" si="42"/>
        <v>42</v>
      </c>
      <c r="G1404" s="18">
        <f t="shared" si="43"/>
        <v>34</v>
      </c>
    </row>
    <row r="1405" spans="1:7" x14ac:dyDescent="0.35">
      <c r="A1405" s="21">
        <v>12</v>
      </c>
      <c r="B1405" s="38" t="s">
        <v>175</v>
      </c>
      <c r="C1405" s="38" t="s">
        <v>62</v>
      </c>
      <c r="D1405" s="39">
        <v>0</v>
      </c>
      <c r="E1405" s="39">
        <v>9</v>
      </c>
      <c r="F1405" s="18">
        <f t="shared" si="42"/>
        <v>34</v>
      </c>
      <c r="G1405" s="18">
        <f t="shared" si="43"/>
        <v>25</v>
      </c>
    </row>
    <row r="1406" spans="1:7" x14ac:dyDescent="0.35">
      <c r="A1406" s="21">
        <v>1</v>
      </c>
      <c r="B1406" s="38" t="s">
        <v>175</v>
      </c>
      <c r="C1406" s="38" t="s">
        <v>64</v>
      </c>
      <c r="D1406" s="39">
        <v>149</v>
      </c>
      <c r="E1406" s="39">
        <v>8</v>
      </c>
      <c r="F1406" s="18">
        <f t="shared" si="42"/>
        <v>0</v>
      </c>
      <c r="G1406" s="18">
        <f t="shared" si="43"/>
        <v>141</v>
      </c>
    </row>
    <row r="1407" spans="1:7" x14ac:dyDescent="0.35">
      <c r="A1407" s="21">
        <v>2</v>
      </c>
      <c r="B1407" s="38" t="s">
        <v>175</v>
      </c>
      <c r="C1407" s="38" t="s">
        <v>64</v>
      </c>
      <c r="D1407" s="39">
        <v>0</v>
      </c>
      <c r="E1407" s="39">
        <v>12</v>
      </c>
      <c r="F1407" s="18">
        <f t="shared" si="42"/>
        <v>141</v>
      </c>
      <c r="G1407" s="18">
        <f t="shared" si="43"/>
        <v>129</v>
      </c>
    </row>
    <row r="1408" spans="1:7" x14ac:dyDescent="0.35">
      <c r="A1408" s="21">
        <v>3</v>
      </c>
      <c r="B1408" s="38" t="s">
        <v>175</v>
      </c>
      <c r="C1408" s="38" t="s">
        <v>64</v>
      </c>
      <c r="D1408" s="39">
        <v>0</v>
      </c>
      <c r="E1408" s="39">
        <v>7</v>
      </c>
      <c r="F1408" s="18">
        <f t="shared" si="42"/>
        <v>129</v>
      </c>
      <c r="G1408" s="18">
        <f t="shared" si="43"/>
        <v>122</v>
      </c>
    </row>
    <row r="1409" spans="1:7" x14ac:dyDescent="0.35">
      <c r="A1409" s="21">
        <v>4</v>
      </c>
      <c r="B1409" s="38" t="s">
        <v>175</v>
      </c>
      <c r="C1409" s="38" t="s">
        <v>64</v>
      </c>
      <c r="D1409" s="39">
        <v>0</v>
      </c>
      <c r="E1409" s="39">
        <v>10</v>
      </c>
      <c r="F1409" s="18">
        <f t="shared" si="42"/>
        <v>122</v>
      </c>
      <c r="G1409" s="18">
        <f t="shared" si="43"/>
        <v>112</v>
      </c>
    </row>
    <row r="1410" spans="1:7" x14ac:dyDescent="0.35">
      <c r="A1410" s="21">
        <v>5</v>
      </c>
      <c r="B1410" s="38" t="s">
        <v>175</v>
      </c>
      <c r="C1410" s="38" t="s">
        <v>64</v>
      </c>
      <c r="D1410" s="39">
        <v>0</v>
      </c>
      <c r="E1410" s="39">
        <v>9</v>
      </c>
      <c r="F1410" s="18">
        <f t="shared" ref="F1410:F1441" si="44">IF(A1410=1,0,G1409)</f>
        <v>112</v>
      </c>
      <c r="G1410" s="18">
        <f t="shared" ref="G1410:G1473" si="45">F1410+D1410-E1410</f>
        <v>103</v>
      </c>
    </row>
    <row r="1411" spans="1:7" x14ac:dyDescent="0.35">
      <c r="A1411" s="21">
        <v>6</v>
      </c>
      <c r="B1411" s="38" t="s">
        <v>175</v>
      </c>
      <c r="C1411" s="38" t="s">
        <v>64</v>
      </c>
      <c r="D1411" s="39">
        <v>0</v>
      </c>
      <c r="E1411" s="39">
        <v>11</v>
      </c>
      <c r="F1411" s="18">
        <f t="shared" si="44"/>
        <v>103</v>
      </c>
      <c r="G1411" s="18">
        <f t="shared" si="45"/>
        <v>92</v>
      </c>
    </row>
    <row r="1412" spans="1:7" x14ac:dyDescent="0.35">
      <c r="A1412" s="21">
        <v>7</v>
      </c>
      <c r="B1412" s="38" t="s">
        <v>175</v>
      </c>
      <c r="C1412" s="38" t="s">
        <v>64</v>
      </c>
      <c r="D1412" s="39">
        <v>0</v>
      </c>
      <c r="E1412" s="39">
        <v>8</v>
      </c>
      <c r="F1412" s="18">
        <f t="shared" si="44"/>
        <v>92</v>
      </c>
      <c r="G1412" s="18">
        <f t="shared" si="45"/>
        <v>84</v>
      </c>
    </row>
    <row r="1413" spans="1:7" x14ac:dyDescent="0.35">
      <c r="A1413" s="21">
        <v>8</v>
      </c>
      <c r="B1413" s="38" t="s">
        <v>175</v>
      </c>
      <c r="C1413" s="38" t="s">
        <v>64</v>
      </c>
      <c r="D1413" s="39">
        <v>0</v>
      </c>
      <c r="E1413" s="39">
        <v>11</v>
      </c>
      <c r="F1413" s="18">
        <f t="shared" si="44"/>
        <v>84</v>
      </c>
      <c r="G1413" s="18">
        <f t="shared" si="45"/>
        <v>73</v>
      </c>
    </row>
    <row r="1414" spans="1:7" x14ac:dyDescent="0.35">
      <c r="A1414" s="21">
        <v>9</v>
      </c>
      <c r="B1414" s="38" t="s">
        <v>175</v>
      </c>
      <c r="C1414" s="38" t="s">
        <v>64</v>
      </c>
      <c r="D1414" s="39">
        <v>0</v>
      </c>
      <c r="E1414" s="39">
        <v>9</v>
      </c>
      <c r="F1414" s="18">
        <f t="shared" si="44"/>
        <v>73</v>
      </c>
      <c r="G1414" s="18">
        <f t="shared" si="45"/>
        <v>64</v>
      </c>
    </row>
    <row r="1415" spans="1:7" x14ac:dyDescent="0.35">
      <c r="A1415" s="21">
        <v>10</v>
      </c>
      <c r="B1415" s="38" t="s">
        <v>175</v>
      </c>
      <c r="C1415" s="38" t="s">
        <v>64</v>
      </c>
      <c r="D1415" s="39">
        <v>0</v>
      </c>
      <c r="E1415" s="39">
        <v>10</v>
      </c>
      <c r="F1415" s="18">
        <f t="shared" si="44"/>
        <v>64</v>
      </c>
      <c r="G1415" s="18">
        <f t="shared" si="45"/>
        <v>54</v>
      </c>
    </row>
    <row r="1416" spans="1:7" x14ac:dyDescent="0.35">
      <c r="A1416" s="21">
        <v>11</v>
      </c>
      <c r="B1416" s="38" t="s">
        <v>175</v>
      </c>
      <c r="C1416" s="38" t="s">
        <v>64</v>
      </c>
      <c r="D1416" s="39">
        <v>0</v>
      </c>
      <c r="E1416" s="39">
        <v>7</v>
      </c>
      <c r="F1416" s="18">
        <f t="shared" si="44"/>
        <v>54</v>
      </c>
      <c r="G1416" s="18">
        <f t="shared" si="45"/>
        <v>47</v>
      </c>
    </row>
    <row r="1417" spans="1:7" x14ac:dyDescent="0.35">
      <c r="A1417" s="21">
        <v>12</v>
      </c>
      <c r="B1417" s="38" t="s">
        <v>175</v>
      </c>
      <c r="C1417" s="38" t="s">
        <v>64</v>
      </c>
      <c r="D1417" s="39">
        <v>0</v>
      </c>
      <c r="E1417" s="39">
        <v>9</v>
      </c>
      <c r="F1417" s="18">
        <f t="shared" si="44"/>
        <v>47</v>
      </c>
      <c r="G1417" s="18">
        <f t="shared" si="45"/>
        <v>38</v>
      </c>
    </row>
    <row r="1418" spans="1:7" x14ac:dyDescent="0.35">
      <c r="A1418" s="21">
        <v>1</v>
      </c>
      <c r="B1418" s="38" t="s">
        <v>175</v>
      </c>
      <c r="C1418" s="38" t="s">
        <v>66</v>
      </c>
      <c r="D1418" s="39">
        <v>99</v>
      </c>
      <c r="E1418" s="39">
        <v>5</v>
      </c>
      <c r="F1418" s="18">
        <f t="shared" si="44"/>
        <v>0</v>
      </c>
      <c r="G1418" s="18">
        <f t="shared" si="45"/>
        <v>94</v>
      </c>
    </row>
    <row r="1419" spans="1:7" x14ac:dyDescent="0.35">
      <c r="A1419" s="21">
        <v>2</v>
      </c>
      <c r="B1419" s="38" t="s">
        <v>175</v>
      </c>
      <c r="C1419" s="38" t="s">
        <v>66</v>
      </c>
      <c r="D1419" s="39">
        <v>0</v>
      </c>
      <c r="E1419" s="39">
        <v>5</v>
      </c>
      <c r="F1419" s="18">
        <f t="shared" si="44"/>
        <v>94</v>
      </c>
      <c r="G1419" s="18">
        <f t="shared" si="45"/>
        <v>89</v>
      </c>
    </row>
    <row r="1420" spans="1:7" x14ac:dyDescent="0.35">
      <c r="A1420" s="21">
        <v>3</v>
      </c>
      <c r="B1420" s="38" t="s">
        <v>175</v>
      </c>
      <c r="C1420" s="38" t="s">
        <v>66</v>
      </c>
      <c r="D1420" s="39">
        <v>0</v>
      </c>
      <c r="E1420" s="39">
        <v>5</v>
      </c>
      <c r="F1420" s="18">
        <f t="shared" si="44"/>
        <v>89</v>
      </c>
      <c r="G1420" s="18">
        <f t="shared" si="45"/>
        <v>84</v>
      </c>
    </row>
    <row r="1421" spans="1:7" x14ac:dyDescent="0.35">
      <c r="A1421" s="21">
        <v>4</v>
      </c>
      <c r="B1421" s="38" t="s">
        <v>175</v>
      </c>
      <c r="C1421" s="38" t="s">
        <v>66</v>
      </c>
      <c r="D1421" s="39">
        <v>0</v>
      </c>
      <c r="E1421" s="39">
        <v>5</v>
      </c>
      <c r="F1421" s="18">
        <f t="shared" si="44"/>
        <v>84</v>
      </c>
      <c r="G1421" s="18">
        <f t="shared" si="45"/>
        <v>79</v>
      </c>
    </row>
    <row r="1422" spans="1:7" x14ac:dyDescent="0.35">
      <c r="A1422" s="21">
        <v>5</v>
      </c>
      <c r="B1422" s="38" t="s">
        <v>175</v>
      </c>
      <c r="C1422" s="38" t="s">
        <v>66</v>
      </c>
      <c r="D1422" s="39">
        <v>0</v>
      </c>
      <c r="E1422" s="39">
        <v>5</v>
      </c>
      <c r="F1422" s="18">
        <f t="shared" si="44"/>
        <v>79</v>
      </c>
      <c r="G1422" s="18">
        <f t="shared" si="45"/>
        <v>74</v>
      </c>
    </row>
    <row r="1423" spans="1:7" x14ac:dyDescent="0.35">
      <c r="A1423" s="21">
        <v>6</v>
      </c>
      <c r="B1423" s="38" t="s">
        <v>175</v>
      </c>
      <c r="C1423" s="38" t="s">
        <v>66</v>
      </c>
      <c r="D1423" s="39">
        <v>0</v>
      </c>
      <c r="E1423" s="39">
        <v>8</v>
      </c>
      <c r="F1423" s="18">
        <f t="shared" si="44"/>
        <v>74</v>
      </c>
      <c r="G1423" s="18">
        <f t="shared" si="45"/>
        <v>66</v>
      </c>
    </row>
    <row r="1424" spans="1:7" x14ac:dyDescent="0.35">
      <c r="A1424" s="21">
        <v>7</v>
      </c>
      <c r="B1424" s="38" t="s">
        <v>175</v>
      </c>
      <c r="C1424" s="38" t="s">
        <v>66</v>
      </c>
      <c r="D1424" s="39">
        <v>0</v>
      </c>
      <c r="E1424" s="39">
        <v>6</v>
      </c>
      <c r="F1424" s="18">
        <f t="shared" si="44"/>
        <v>66</v>
      </c>
      <c r="G1424" s="18">
        <f t="shared" si="45"/>
        <v>60</v>
      </c>
    </row>
    <row r="1425" spans="1:7" x14ac:dyDescent="0.35">
      <c r="A1425" s="21">
        <v>8</v>
      </c>
      <c r="B1425" s="38" t="s">
        <v>175</v>
      </c>
      <c r="C1425" s="38" t="s">
        <v>66</v>
      </c>
      <c r="D1425" s="39">
        <v>0</v>
      </c>
      <c r="E1425" s="39">
        <v>7</v>
      </c>
      <c r="F1425" s="18">
        <f t="shared" si="44"/>
        <v>60</v>
      </c>
      <c r="G1425" s="18">
        <f t="shared" si="45"/>
        <v>53</v>
      </c>
    </row>
    <row r="1426" spans="1:7" x14ac:dyDescent="0.35">
      <c r="A1426" s="21">
        <v>9</v>
      </c>
      <c r="B1426" s="38" t="s">
        <v>175</v>
      </c>
      <c r="C1426" s="38" t="s">
        <v>66</v>
      </c>
      <c r="D1426" s="39">
        <v>0</v>
      </c>
      <c r="E1426" s="39">
        <v>8</v>
      </c>
      <c r="F1426" s="18">
        <f t="shared" si="44"/>
        <v>53</v>
      </c>
      <c r="G1426" s="18">
        <f t="shared" si="45"/>
        <v>45</v>
      </c>
    </row>
    <row r="1427" spans="1:7" x14ac:dyDescent="0.35">
      <c r="A1427" s="21">
        <v>10</v>
      </c>
      <c r="B1427" s="38" t="s">
        <v>175</v>
      </c>
      <c r="C1427" s="38" t="s">
        <v>66</v>
      </c>
      <c r="D1427" s="39">
        <v>0</v>
      </c>
      <c r="E1427" s="39">
        <v>5</v>
      </c>
      <c r="F1427" s="18">
        <f t="shared" si="44"/>
        <v>45</v>
      </c>
      <c r="G1427" s="18">
        <f t="shared" si="45"/>
        <v>40</v>
      </c>
    </row>
    <row r="1428" spans="1:7" x14ac:dyDescent="0.35">
      <c r="A1428" s="21">
        <v>11</v>
      </c>
      <c r="B1428" s="38" t="s">
        <v>175</v>
      </c>
      <c r="C1428" s="38" t="s">
        <v>66</v>
      </c>
      <c r="D1428" s="39">
        <v>0</v>
      </c>
      <c r="E1428" s="39">
        <v>7</v>
      </c>
      <c r="F1428" s="18">
        <f t="shared" si="44"/>
        <v>40</v>
      </c>
      <c r="G1428" s="18">
        <f t="shared" si="45"/>
        <v>33</v>
      </c>
    </row>
    <row r="1429" spans="1:7" x14ac:dyDescent="0.35">
      <c r="A1429" s="21">
        <v>12</v>
      </c>
      <c r="B1429" s="38" t="s">
        <v>175</v>
      </c>
      <c r="C1429" s="38" t="s">
        <v>66</v>
      </c>
      <c r="D1429" s="39">
        <v>0</v>
      </c>
      <c r="E1429" s="39">
        <v>7</v>
      </c>
      <c r="F1429" s="18">
        <f t="shared" si="44"/>
        <v>33</v>
      </c>
      <c r="G1429" s="18">
        <f t="shared" si="45"/>
        <v>26</v>
      </c>
    </row>
    <row r="1430" spans="1:7" x14ac:dyDescent="0.35">
      <c r="A1430" s="21">
        <v>1</v>
      </c>
      <c r="B1430" s="38" t="s">
        <v>175</v>
      </c>
      <c r="C1430" s="38" t="s">
        <v>68</v>
      </c>
      <c r="D1430" s="39">
        <v>136</v>
      </c>
      <c r="E1430" s="39">
        <v>8</v>
      </c>
      <c r="F1430" s="18">
        <f t="shared" si="44"/>
        <v>0</v>
      </c>
      <c r="G1430" s="18">
        <f t="shared" si="45"/>
        <v>128</v>
      </c>
    </row>
    <row r="1431" spans="1:7" x14ac:dyDescent="0.35">
      <c r="A1431" s="21">
        <v>2</v>
      </c>
      <c r="B1431" s="38" t="s">
        <v>175</v>
      </c>
      <c r="C1431" s="38" t="s">
        <v>68</v>
      </c>
      <c r="D1431" s="39">
        <v>0</v>
      </c>
      <c r="E1431" s="39">
        <v>8</v>
      </c>
      <c r="F1431" s="18">
        <f t="shared" si="44"/>
        <v>128</v>
      </c>
      <c r="G1431" s="18">
        <f t="shared" si="45"/>
        <v>120</v>
      </c>
    </row>
    <row r="1432" spans="1:7" x14ac:dyDescent="0.35">
      <c r="A1432" s="21">
        <v>3</v>
      </c>
      <c r="B1432" s="38" t="s">
        <v>175</v>
      </c>
      <c r="C1432" s="38" t="s">
        <v>68</v>
      </c>
      <c r="D1432" s="39">
        <v>0</v>
      </c>
      <c r="E1432" s="39">
        <v>6</v>
      </c>
      <c r="F1432" s="18">
        <f t="shared" si="44"/>
        <v>120</v>
      </c>
      <c r="G1432" s="18">
        <f t="shared" si="45"/>
        <v>114</v>
      </c>
    </row>
    <row r="1433" spans="1:7" x14ac:dyDescent="0.35">
      <c r="A1433" s="21">
        <v>4</v>
      </c>
      <c r="B1433" s="38" t="s">
        <v>175</v>
      </c>
      <c r="C1433" s="38" t="s">
        <v>68</v>
      </c>
      <c r="D1433" s="39">
        <v>0</v>
      </c>
      <c r="E1433" s="39">
        <v>8</v>
      </c>
      <c r="F1433" s="18">
        <f t="shared" si="44"/>
        <v>114</v>
      </c>
      <c r="G1433" s="18">
        <f t="shared" si="45"/>
        <v>106</v>
      </c>
    </row>
    <row r="1434" spans="1:7" x14ac:dyDescent="0.35">
      <c r="A1434" s="21">
        <v>5</v>
      </c>
      <c r="B1434" s="38" t="s">
        <v>175</v>
      </c>
      <c r="C1434" s="38" t="s">
        <v>68</v>
      </c>
      <c r="D1434" s="39">
        <v>0</v>
      </c>
      <c r="E1434" s="39">
        <v>11</v>
      </c>
      <c r="F1434" s="18">
        <f t="shared" si="44"/>
        <v>106</v>
      </c>
      <c r="G1434" s="18">
        <f t="shared" si="45"/>
        <v>95</v>
      </c>
    </row>
    <row r="1435" spans="1:7" x14ac:dyDescent="0.35">
      <c r="A1435" s="21">
        <v>6</v>
      </c>
      <c r="B1435" s="38" t="s">
        <v>175</v>
      </c>
      <c r="C1435" s="38" t="s">
        <v>68</v>
      </c>
      <c r="D1435" s="39">
        <v>0</v>
      </c>
      <c r="E1435" s="39">
        <v>10</v>
      </c>
      <c r="F1435" s="18">
        <f t="shared" si="44"/>
        <v>95</v>
      </c>
      <c r="G1435" s="18">
        <f t="shared" si="45"/>
        <v>85</v>
      </c>
    </row>
    <row r="1436" spans="1:7" x14ac:dyDescent="0.35">
      <c r="A1436" s="21">
        <v>7</v>
      </c>
      <c r="B1436" s="38" t="s">
        <v>175</v>
      </c>
      <c r="C1436" s="38" t="s">
        <v>68</v>
      </c>
      <c r="D1436" s="39">
        <v>0</v>
      </c>
      <c r="E1436" s="39">
        <v>6</v>
      </c>
      <c r="F1436" s="18">
        <f t="shared" si="44"/>
        <v>85</v>
      </c>
      <c r="G1436" s="18">
        <f t="shared" si="45"/>
        <v>79</v>
      </c>
    </row>
    <row r="1437" spans="1:7" x14ac:dyDescent="0.35">
      <c r="A1437" s="21">
        <v>8</v>
      </c>
      <c r="B1437" s="38" t="s">
        <v>175</v>
      </c>
      <c r="C1437" s="38" t="s">
        <v>68</v>
      </c>
      <c r="D1437" s="39">
        <v>0</v>
      </c>
      <c r="E1437" s="39">
        <v>9</v>
      </c>
      <c r="F1437" s="18">
        <f t="shared" si="44"/>
        <v>79</v>
      </c>
      <c r="G1437" s="18">
        <f t="shared" si="45"/>
        <v>70</v>
      </c>
    </row>
    <row r="1438" spans="1:7" x14ac:dyDescent="0.35">
      <c r="A1438" s="21">
        <v>9</v>
      </c>
      <c r="B1438" s="38" t="s">
        <v>175</v>
      </c>
      <c r="C1438" s="38" t="s">
        <v>68</v>
      </c>
      <c r="D1438" s="39">
        <v>0</v>
      </c>
      <c r="E1438" s="39">
        <v>7</v>
      </c>
      <c r="F1438" s="18">
        <f t="shared" si="44"/>
        <v>70</v>
      </c>
      <c r="G1438" s="18">
        <f t="shared" si="45"/>
        <v>63</v>
      </c>
    </row>
    <row r="1439" spans="1:7" x14ac:dyDescent="0.35">
      <c r="A1439" s="21">
        <v>10</v>
      </c>
      <c r="B1439" s="38" t="s">
        <v>175</v>
      </c>
      <c r="C1439" s="38" t="s">
        <v>68</v>
      </c>
      <c r="D1439" s="39">
        <v>0</v>
      </c>
      <c r="E1439" s="39">
        <v>10</v>
      </c>
      <c r="F1439" s="18">
        <f t="shared" si="44"/>
        <v>63</v>
      </c>
      <c r="G1439" s="18">
        <f t="shared" si="45"/>
        <v>53</v>
      </c>
    </row>
    <row r="1440" spans="1:7" x14ac:dyDescent="0.35">
      <c r="A1440" s="21">
        <v>11</v>
      </c>
      <c r="B1440" s="38" t="s">
        <v>175</v>
      </c>
      <c r="C1440" s="38" t="s">
        <v>68</v>
      </c>
      <c r="D1440" s="39">
        <v>0</v>
      </c>
      <c r="E1440" s="39">
        <v>6</v>
      </c>
      <c r="F1440" s="18">
        <f t="shared" si="44"/>
        <v>53</v>
      </c>
      <c r="G1440" s="18">
        <f t="shared" si="45"/>
        <v>47</v>
      </c>
    </row>
    <row r="1441" spans="1:7" x14ac:dyDescent="0.35">
      <c r="A1441" s="21">
        <v>12</v>
      </c>
      <c r="B1441" s="38" t="s">
        <v>175</v>
      </c>
      <c r="C1441" s="38" t="s">
        <v>68</v>
      </c>
      <c r="D1441" s="39">
        <v>0</v>
      </c>
      <c r="E1441" s="39">
        <v>10</v>
      </c>
      <c r="F1441" s="18">
        <f t="shared" si="44"/>
        <v>47</v>
      </c>
      <c r="G1441" s="18">
        <f t="shared" si="45"/>
        <v>37</v>
      </c>
    </row>
  </sheetData>
  <autoFilter ref="A1:G1441" xr:uid="{00000000-0009-0000-0000-000004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121"/>
  <sheetViews>
    <sheetView zoomScaleNormal="100" workbookViewId="0">
      <pane xSplit="2" ySplit="1" topLeftCell="J5" activePane="bottomRight" state="frozen"/>
      <selection pane="topRight" activeCell="C1" sqref="C1"/>
      <selection pane="bottomLeft" activeCell="A2" sqref="A2"/>
      <selection pane="bottomRight" activeCell="C9" sqref="C9"/>
    </sheetView>
  </sheetViews>
  <sheetFormatPr defaultColWidth="8.6328125" defaultRowHeight="14.5" x14ac:dyDescent="0.35"/>
  <cols>
    <col min="1" max="1" width="14" customWidth="1"/>
    <col min="2" max="2" width="17" customWidth="1"/>
    <col min="3" max="3" width="22" customWidth="1"/>
    <col min="4" max="4" width="11" customWidth="1"/>
    <col min="5" max="5" width="13" customWidth="1"/>
    <col min="6" max="6" width="9" customWidth="1"/>
    <col min="7" max="7" width="10.26953125" customWidth="1"/>
    <col min="8" max="8" width="14.90625" customWidth="1"/>
    <col min="9" max="9" width="10.90625" customWidth="1"/>
    <col min="10" max="10" width="13.26953125" customWidth="1"/>
    <col min="11" max="11" width="15" customWidth="1"/>
    <col min="12" max="12" width="24.1796875" customWidth="1"/>
    <col min="13" max="13" width="18.6328125" customWidth="1"/>
    <col min="14" max="14" width="14.08984375" customWidth="1"/>
    <col min="15" max="15" width="16.453125" customWidth="1"/>
    <col min="16" max="16" width="15.453125" customWidth="1"/>
    <col min="17" max="17" width="11.36328125" customWidth="1"/>
    <col min="18" max="18" width="9.36328125" customWidth="1"/>
    <col min="19" max="19" width="24.453125" customWidth="1"/>
    <col min="20" max="20" width="13.453125" customWidth="1"/>
    <col min="21" max="21" width="10.26953125" customWidth="1"/>
    <col min="22" max="22" width="12" customWidth="1"/>
    <col min="23" max="23" width="12.54296875" customWidth="1"/>
    <col min="24" max="24" width="26" customWidth="1"/>
  </cols>
  <sheetData>
    <row r="1" spans="1:24" ht="30" customHeight="1" x14ac:dyDescent="0.35">
      <c r="A1" s="45" t="s">
        <v>71</v>
      </c>
      <c r="B1" s="46" t="s">
        <v>52</v>
      </c>
      <c r="C1" s="46" t="s">
        <v>72</v>
      </c>
      <c r="D1" s="46" t="s">
        <v>59</v>
      </c>
      <c r="E1" s="46" t="s">
        <v>73</v>
      </c>
      <c r="F1" s="46" t="s">
        <v>181</v>
      </c>
      <c r="G1" s="46" t="s">
        <v>182</v>
      </c>
      <c r="H1" s="46" t="s">
        <v>183</v>
      </c>
      <c r="I1" s="46" t="s">
        <v>53</v>
      </c>
      <c r="J1" s="46" t="s">
        <v>184</v>
      </c>
      <c r="K1" s="46" t="s">
        <v>185</v>
      </c>
      <c r="L1" s="46" t="s">
        <v>211</v>
      </c>
      <c r="M1" s="46" t="s">
        <v>212</v>
      </c>
      <c r="N1" s="46" t="s">
        <v>186</v>
      </c>
      <c r="O1" s="46" t="s">
        <v>213</v>
      </c>
      <c r="P1" s="46" t="s">
        <v>188</v>
      </c>
      <c r="Q1" s="46" t="s">
        <v>189</v>
      </c>
      <c r="R1" s="46" t="s">
        <v>187</v>
      </c>
      <c r="S1" s="46" t="s">
        <v>214</v>
      </c>
      <c r="T1" s="46" t="s">
        <v>58</v>
      </c>
      <c r="U1" s="46" t="s">
        <v>190</v>
      </c>
      <c r="V1" s="46" t="s">
        <v>191</v>
      </c>
      <c r="W1" s="46" t="s">
        <v>74</v>
      </c>
      <c r="X1" s="47" t="s">
        <v>192</v>
      </c>
    </row>
    <row r="2" spans="1:24" x14ac:dyDescent="0.35">
      <c r="A2" s="43" t="s">
        <v>99</v>
      </c>
      <c r="B2" s="22" t="s">
        <v>62</v>
      </c>
      <c r="C2" s="40" t="str">
        <f>INDEX(Dim_Product!$B:B, MATCH($A2,Dim_Product!$A:$A,0))</f>
        <v>Ribbed Jersey Top</v>
      </c>
      <c r="D2" s="40" t="str">
        <f>INDEX(Dim_Product!$D:D, MATCH($A2,Dim_Product!$A:$A,0))</f>
        <v>Tops</v>
      </c>
      <c r="E2" s="40" t="str">
        <f>INDEX(Dim_Product!$E:E, MATCH($A2,Dim_Product!$A:$A,0))</f>
        <v>Black</v>
      </c>
      <c r="F2" s="40" t="str">
        <f>INDEX(Dim_Product!$F:F, MATCH($A2,Dim_Product!$A:$A,0))</f>
        <v>Core</v>
      </c>
      <c r="G2" s="41">
        <f>INDEX(Dim_Product!$G:G, MATCH($A2,Dim_Product!$A:$A,0))</f>
        <v>17.989999999999998</v>
      </c>
      <c r="H2" s="18">
        <f>SUMIFS(Fact_Weekly!$D$2:$D$1500,Fact_Weekly!$B$2:$B$1500,$A2,Fact_Weekly!$C$2:$C$1500,$B2)</f>
        <v>198</v>
      </c>
      <c r="I2" s="18">
        <f>SUMIFS(Fact_Weekly!$E$2:$E$1500,Fact_Weekly!$B$2:$B$1500,$A2,Fact_Weekly!$C$2:$C$1500,$B2)</f>
        <v>198</v>
      </c>
      <c r="J2" s="18">
        <f>H2-I2</f>
        <v>0</v>
      </c>
      <c r="K2" s="19">
        <f>IF(H2&gt;0,I2/H2,0)</f>
        <v>1</v>
      </c>
      <c r="L2" s="18">
        <f>SUMIFS(Fact_Weekly!$E$2:$E$1500,Fact_Weekly!$B$2:$B$1500,$A2,Fact_Weekly!$C$2:$C$1500,$B2,Fact_Weekly!$A$2:$A$1500,"&gt;="&amp;(Assumptions!$B$12-Assumptions!$B$11+1))</f>
        <v>65</v>
      </c>
      <c r="M2" s="42">
        <f>L2/Assumptions!$B$11</f>
        <v>16.25</v>
      </c>
      <c r="N2" s="18">
        <f>COUNTIFS(Fact_Weekly!$B$2:$B$1500,$A2,Fact_Weekly!$C$2:$C$1500,$B2,Fact_Weekly!$G$2:$G$1500,"&gt;0")</f>
        <v>11</v>
      </c>
      <c r="O2" s="42">
        <f>IF(N2&gt;0,I2/N2,0)</f>
        <v>18</v>
      </c>
      <c r="P2" s="42">
        <f>IF(M2&gt;0,J2/M2,IF(J2&gt;0,Assumptions!$B$12,0))</f>
        <v>0</v>
      </c>
      <c r="Q2" s="21">
        <f>IF(AND(N2&lt;Assumptions!$B$12,K2&gt;=0.99),1,0)</f>
        <v>1</v>
      </c>
      <c r="R2" s="42">
        <f>IF(Q2=1,O2,M2)</f>
        <v>18</v>
      </c>
      <c r="S2" s="42">
        <f>IF(Q2=1,(Assumptions!$B$12-N2)*(H2/Assumptions!$B$12),0)</f>
        <v>16.5</v>
      </c>
      <c r="T2" s="20">
        <f>S2*G2</f>
        <v>296.83499999999998</v>
      </c>
      <c r="U2" s="21">
        <f>IF(OR(K2&gt;=Assumptions!$B$5,Q2=1,AND(F2="Core",P2&lt;Assumptions!$B$7)),1,0)</f>
        <v>1</v>
      </c>
      <c r="V2" s="21">
        <f>IF(AND(F2="Seasonal",K2&lt;Assumptions!$B$6,P2&gt;Assumptions!$B$8),1,0)</f>
        <v>0</v>
      </c>
      <c r="W2" s="18">
        <f>IF(U2=1,ROUND(MAX(0,Assumptions!$B$9*R2-J2),0),0)</f>
        <v>108</v>
      </c>
      <c r="X2" s="44" t="str">
        <f>IF(V2=1,"Markdown / clear",IF(AND(U2=1,Q2=1),"Reorder - recover lost sales",IF(U2=1,"Reorder / replenish","Maintain / monitor")))</f>
        <v>Reorder - recover lost sales</v>
      </c>
    </row>
    <row r="3" spans="1:24" x14ac:dyDescent="0.35">
      <c r="A3" s="43" t="s">
        <v>99</v>
      </c>
      <c r="B3" s="22" t="s">
        <v>64</v>
      </c>
      <c r="C3" s="40" t="str">
        <f>INDEX(Dim_Product!$B:B, MATCH($A3,Dim_Product!$A:$A,0))</f>
        <v>Ribbed Jersey Top</v>
      </c>
      <c r="D3" s="40" t="str">
        <f>INDEX(Dim_Product!$D:D, MATCH($A3,Dim_Product!$A:$A,0))</f>
        <v>Tops</v>
      </c>
      <c r="E3" s="40" t="str">
        <f>INDEX(Dim_Product!$E:E, MATCH($A3,Dim_Product!$A:$A,0))</f>
        <v>Black</v>
      </c>
      <c r="F3" s="40" t="str">
        <f>INDEX(Dim_Product!$F:F, MATCH($A3,Dim_Product!$A:$A,0))</f>
        <v>Core</v>
      </c>
      <c r="G3" s="41">
        <f>INDEX(Dim_Product!$G:G, MATCH($A3,Dim_Product!$A:$A,0))</f>
        <v>17.989999999999998</v>
      </c>
      <c r="H3" s="18">
        <f>SUMIFS(Fact_Weekly!$D$2:$D$1500,Fact_Weekly!$B$2:$B$1500,$A3,Fact_Weekly!$C$2:$C$1500,$B3)</f>
        <v>268</v>
      </c>
      <c r="I3" s="18">
        <f>SUMIFS(Fact_Weekly!$E$2:$E$1500,Fact_Weekly!$B$2:$B$1500,$A3,Fact_Weekly!$C$2:$C$1500,$B3)</f>
        <v>268</v>
      </c>
      <c r="J3" s="18">
        <f t="shared" ref="J3:J66" si="0">H3-I3</f>
        <v>0</v>
      </c>
      <c r="K3" s="19">
        <f t="shared" ref="K3:K33" si="1">IF(H3&gt;0,I3/H3,0)</f>
        <v>1</v>
      </c>
      <c r="L3" s="18">
        <f>SUMIFS(Fact_Weekly!$E$2:$E$1500,Fact_Weekly!$B$2:$B$1500,$A3,Fact_Weekly!$C$2:$C$1500,$B3,Fact_Weekly!$A$2:$A$1500,"&gt;="&amp;(Assumptions!$B$12-Assumptions!$B$11+1))</f>
        <v>90</v>
      </c>
      <c r="M3" s="42">
        <f>L3/Assumptions!$B$11</f>
        <v>22.5</v>
      </c>
      <c r="N3" s="18">
        <f>COUNTIFS(Fact_Weekly!$B$2:$B$1500,$A3,Fact_Weekly!$C$2:$C$1500,$B3,Fact_Weekly!$G$2:$G$1500,"&gt;0")</f>
        <v>11</v>
      </c>
      <c r="O3" s="42">
        <f t="shared" ref="O3:O33" si="2">IF(N3&gt;0,I3/N3,0)</f>
        <v>24.363636363636363</v>
      </c>
      <c r="P3" s="42">
        <f>IF(M3&gt;0,J3/M3,IF(J3&gt;0,Assumptions!$B$12,0))</f>
        <v>0</v>
      </c>
      <c r="Q3" s="21">
        <f>IF(AND(N3&lt;Assumptions!$B$12,K3&gt;=0.99),1,0)</f>
        <v>1</v>
      </c>
      <c r="R3" s="42">
        <f t="shared" ref="R3:R66" si="3">IF(Q3=1,O3,M3)</f>
        <v>24.363636363636363</v>
      </c>
      <c r="S3" s="42">
        <f>IF(Q3=1,(Assumptions!$B$12-N3)*(H3/Assumptions!$B$12),0)</f>
        <v>22.333333333333332</v>
      </c>
      <c r="T3" s="20">
        <f>S3*G3</f>
        <v>401.77666666666659</v>
      </c>
      <c r="U3" s="21">
        <f>IF(OR(K3&gt;=Assumptions!$B$5,Q3=1,AND(F3="Core",P3&lt;Assumptions!$B$7)),1,0)</f>
        <v>1</v>
      </c>
      <c r="V3" s="21">
        <f>IF(AND(F3="Seasonal",K3&lt;Assumptions!$B$6,P3&gt;Assumptions!$B$8),1,0)</f>
        <v>0</v>
      </c>
      <c r="W3" s="18">
        <f>IF(U3=1,ROUND(MAX(0,Assumptions!$B$9*R3-J3),0),0)</f>
        <v>146</v>
      </c>
      <c r="X3" s="44" t="str">
        <f t="shared" ref="X3:X33" si="4">IF(V3=1,"Markdown / clear",IF(AND(U3=1,Q3=1),"Reorder - recover lost sales",IF(U3=1,"Reorder / replenish","Maintain / monitor")))</f>
        <v>Reorder - recover lost sales</v>
      </c>
    </row>
    <row r="4" spans="1:24" x14ac:dyDescent="0.35">
      <c r="A4" s="43" t="s">
        <v>99</v>
      </c>
      <c r="B4" s="22" t="s">
        <v>66</v>
      </c>
      <c r="C4" s="40" t="str">
        <f>INDEX(Dim_Product!$B:B, MATCH($A4,Dim_Product!$A:$A,0))</f>
        <v>Ribbed Jersey Top</v>
      </c>
      <c r="D4" s="40" t="str">
        <f>INDEX(Dim_Product!$D:D, MATCH($A4,Dim_Product!$A:$A,0))</f>
        <v>Tops</v>
      </c>
      <c r="E4" s="40" t="str">
        <f>INDEX(Dim_Product!$E:E, MATCH($A4,Dim_Product!$A:$A,0))</f>
        <v>Black</v>
      </c>
      <c r="F4" s="40" t="str">
        <f>INDEX(Dim_Product!$F:F, MATCH($A4,Dim_Product!$A:$A,0))</f>
        <v>Core</v>
      </c>
      <c r="G4" s="41">
        <f>INDEX(Dim_Product!$G:G, MATCH($A4,Dim_Product!$A:$A,0))</f>
        <v>17.989999999999998</v>
      </c>
      <c r="H4" s="18">
        <f>SUMIFS(Fact_Weekly!$D$2:$D$1500,Fact_Weekly!$B$2:$B$1500,$A4,Fact_Weekly!$C$2:$C$1500,$B4)</f>
        <v>155</v>
      </c>
      <c r="I4" s="18">
        <f>SUMIFS(Fact_Weekly!$E$2:$E$1500,Fact_Weekly!$B$2:$B$1500,$A4,Fact_Weekly!$C$2:$C$1500,$B4)</f>
        <v>155</v>
      </c>
      <c r="J4" s="18">
        <f t="shared" si="0"/>
        <v>0</v>
      </c>
      <c r="K4" s="19">
        <f t="shared" si="1"/>
        <v>1</v>
      </c>
      <c r="L4" s="18">
        <f>SUMIFS(Fact_Weekly!$E$2:$E$1500,Fact_Weekly!$B$2:$B$1500,$A4,Fact_Weekly!$C$2:$C$1500,$B4,Fact_Weekly!$A$2:$A$1500,"&gt;="&amp;(Assumptions!$B$12-Assumptions!$B$11+1))</f>
        <v>48</v>
      </c>
      <c r="M4" s="42">
        <f>L4/Assumptions!$B$11</f>
        <v>12</v>
      </c>
      <c r="N4" s="18">
        <f>COUNTIFS(Fact_Weekly!$B$2:$B$1500,$A4,Fact_Weekly!$C$2:$C$1500,$B4,Fact_Weekly!$G$2:$G$1500,"&gt;0")</f>
        <v>11</v>
      </c>
      <c r="O4" s="42">
        <f t="shared" si="2"/>
        <v>14.090909090909092</v>
      </c>
      <c r="P4" s="42">
        <f>IF(M4&gt;0,J4/M4,IF(J4&gt;0,Assumptions!$B$12,0))</f>
        <v>0</v>
      </c>
      <c r="Q4" s="21">
        <f>IF(AND(N4&lt;Assumptions!$B$12,K4&gt;=0.99),1,0)</f>
        <v>1</v>
      </c>
      <c r="R4" s="42">
        <f t="shared" si="3"/>
        <v>14.090909090909092</v>
      </c>
      <c r="S4" s="42">
        <f>IF(Q4=1,(Assumptions!$B$12-N4)*(H4/Assumptions!$B$12),0)</f>
        <v>12.916666666666666</v>
      </c>
      <c r="T4" s="20">
        <f>S4*G4</f>
        <v>232.37083333333331</v>
      </c>
      <c r="U4" s="21">
        <f>IF(OR(K4&gt;=Assumptions!$B$5,Q4=1,AND(F4="Core",P4&lt;Assumptions!$B$7)),1,0)</f>
        <v>1</v>
      </c>
      <c r="V4" s="21">
        <f>IF(AND(F4="Seasonal",K4&lt;Assumptions!$B$6,P4&gt;Assumptions!$B$8),1,0)</f>
        <v>0</v>
      </c>
      <c r="W4" s="18">
        <f>IF(U4=1,ROUND(MAX(0,Assumptions!$B$9*R4-J4),0),0)</f>
        <v>85</v>
      </c>
      <c r="X4" s="44" t="str">
        <f t="shared" si="4"/>
        <v>Reorder - recover lost sales</v>
      </c>
    </row>
    <row r="5" spans="1:24" x14ac:dyDescent="0.35">
      <c r="A5" s="43" t="s">
        <v>99</v>
      </c>
      <c r="B5" s="22" t="s">
        <v>68</v>
      </c>
      <c r="C5" s="40" t="str">
        <f>INDEX(Dim_Product!$B:B, MATCH($A5,Dim_Product!$A:$A,0))</f>
        <v>Ribbed Jersey Top</v>
      </c>
      <c r="D5" s="40" t="str">
        <f>INDEX(Dim_Product!$D:D, MATCH($A5,Dim_Product!$A:$A,0))</f>
        <v>Tops</v>
      </c>
      <c r="E5" s="40" t="str">
        <f>INDEX(Dim_Product!$E:E, MATCH($A5,Dim_Product!$A:$A,0))</f>
        <v>Black</v>
      </c>
      <c r="F5" s="40" t="str">
        <f>INDEX(Dim_Product!$F:F, MATCH($A5,Dim_Product!$A:$A,0))</f>
        <v>Core</v>
      </c>
      <c r="G5" s="41">
        <f>INDEX(Dim_Product!$G:G, MATCH($A5,Dim_Product!$A:$A,0))</f>
        <v>17.989999999999998</v>
      </c>
      <c r="H5" s="18">
        <f>SUMIFS(Fact_Weekly!$D$2:$D$1500,Fact_Weekly!$B$2:$B$1500,$A5,Fact_Weekly!$C$2:$C$1500,$B5)</f>
        <v>228</v>
      </c>
      <c r="I5" s="18">
        <f>SUMIFS(Fact_Weekly!$E$2:$E$1500,Fact_Weekly!$B$2:$B$1500,$A5,Fact_Weekly!$C$2:$C$1500,$B5)</f>
        <v>219</v>
      </c>
      <c r="J5" s="18">
        <f t="shared" si="0"/>
        <v>9</v>
      </c>
      <c r="K5" s="19">
        <f t="shared" si="1"/>
        <v>0.96052631578947367</v>
      </c>
      <c r="L5" s="18">
        <f>SUMIFS(Fact_Weekly!$E$2:$E$1500,Fact_Weekly!$B$2:$B$1500,$A5,Fact_Weekly!$C$2:$C$1500,$B5,Fact_Weekly!$A$2:$A$1500,"&gt;="&amp;(Assumptions!$B$12-Assumptions!$B$11+1))</f>
        <v>63</v>
      </c>
      <c r="M5" s="42">
        <f>L5/Assumptions!$B$11</f>
        <v>15.75</v>
      </c>
      <c r="N5" s="18">
        <f>COUNTIFS(Fact_Weekly!$B$2:$B$1500,$A5,Fact_Weekly!$C$2:$C$1500,$B5,Fact_Weekly!$G$2:$G$1500,"&gt;0")</f>
        <v>12</v>
      </c>
      <c r="O5" s="42">
        <f t="shared" si="2"/>
        <v>18.25</v>
      </c>
      <c r="P5" s="42">
        <f>IF(M5&gt;0,J5/M5,IF(J5&gt;0,Assumptions!$B$12,0))</f>
        <v>0.5714285714285714</v>
      </c>
      <c r="Q5" s="21">
        <f>IF(AND(N5&lt;Assumptions!$B$12,K5&gt;=0.99),1,0)</f>
        <v>0</v>
      </c>
      <c r="R5" s="42">
        <f t="shared" si="3"/>
        <v>15.75</v>
      </c>
      <c r="S5" s="42">
        <f>IF(Q5=1,(Assumptions!$B$12-N5)*(H5/Assumptions!$B$12),0)</f>
        <v>0</v>
      </c>
      <c r="T5" s="20">
        <f>S5*G5</f>
        <v>0</v>
      </c>
      <c r="U5" s="21">
        <f>IF(OR(K5&gt;=Assumptions!$B$5,Q5=1,AND(F5="Core",P5&lt;Assumptions!$B$7)),1,0)</f>
        <v>1</v>
      </c>
      <c r="V5" s="21">
        <f>IF(AND(F5="Seasonal",K5&lt;Assumptions!$B$6,P5&gt;Assumptions!$B$8),1,0)</f>
        <v>0</v>
      </c>
      <c r="W5" s="18">
        <f>IF(U5=1,ROUND(MAX(0,Assumptions!$B$9*R5-J5),0),0)</f>
        <v>86</v>
      </c>
      <c r="X5" s="44" t="str">
        <f t="shared" si="4"/>
        <v>Reorder / replenish</v>
      </c>
    </row>
    <row r="6" spans="1:24" x14ac:dyDescent="0.35">
      <c r="A6" s="43" t="s">
        <v>104</v>
      </c>
      <c r="B6" s="22" t="s">
        <v>62</v>
      </c>
      <c r="C6" s="40" t="str">
        <f>INDEX(Dim_Product!$B:B, MATCH($A6,Dim_Product!$A:$A,0))</f>
        <v>Ribbed Jersey Top</v>
      </c>
      <c r="D6" s="40" t="str">
        <f>INDEX(Dim_Product!$D:D, MATCH($A6,Dim_Product!$A:$A,0))</f>
        <v>Tops</v>
      </c>
      <c r="E6" s="40" t="str">
        <f>INDEX(Dim_Product!$E:E, MATCH($A6,Dim_Product!$A:$A,0))</f>
        <v>White</v>
      </c>
      <c r="F6" s="40" t="str">
        <f>INDEX(Dim_Product!$F:F, MATCH($A6,Dim_Product!$A:$A,0))</f>
        <v>Core</v>
      </c>
      <c r="G6" s="41">
        <f>INDEX(Dim_Product!$G:G, MATCH($A6,Dim_Product!$A:$A,0))</f>
        <v>17.989999999999998</v>
      </c>
      <c r="H6" s="18">
        <f>SUMIFS(Fact_Weekly!$D$2:$D$1500,Fact_Weekly!$B$2:$B$1500,$A6,Fact_Weekly!$C$2:$C$1500,$B6)</f>
        <v>199</v>
      </c>
      <c r="I6" s="18">
        <f>SUMIFS(Fact_Weekly!$E$2:$E$1500,Fact_Weekly!$B$2:$B$1500,$A6,Fact_Weekly!$C$2:$C$1500,$B6)</f>
        <v>187</v>
      </c>
      <c r="J6" s="18">
        <f t="shared" si="0"/>
        <v>12</v>
      </c>
      <c r="K6" s="19">
        <f t="shared" si="1"/>
        <v>0.93969849246231152</v>
      </c>
      <c r="L6" s="18">
        <f>SUMIFS(Fact_Weekly!$E$2:$E$1500,Fact_Weekly!$B$2:$B$1500,$A6,Fact_Weekly!$C$2:$C$1500,$B6,Fact_Weekly!$A$2:$A$1500,"&gt;="&amp;(Assumptions!$B$12-Assumptions!$B$11+1))</f>
        <v>66</v>
      </c>
      <c r="M6" s="42">
        <f>L6/Assumptions!$B$11</f>
        <v>16.5</v>
      </c>
      <c r="N6" s="18">
        <f>COUNTIFS(Fact_Weekly!$B$2:$B$1500,$A6,Fact_Weekly!$C$2:$C$1500,$B6,Fact_Weekly!$G$2:$G$1500,"&gt;0")</f>
        <v>12</v>
      </c>
      <c r="O6" s="42">
        <f t="shared" si="2"/>
        <v>15.583333333333334</v>
      </c>
      <c r="P6" s="42">
        <f>IF(M6&gt;0,J6/M6,IF(J6&gt;0,Assumptions!$B$12,0))</f>
        <v>0.72727272727272729</v>
      </c>
      <c r="Q6" s="21">
        <f>IF(AND(N6&lt;Assumptions!$B$12,K6&gt;=0.99),1,0)</f>
        <v>0</v>
      </c>
      <c r="R6" s="42">
        <f t="shared" si="3"/>
        <v>16.5</v>
      </c>
      <c r="S6" s="42">
        <f>IF(Q6=1,(Assumptions!$B$12-N6)*(H6/Assumptions!$B$12),0)</f>
        <v>0</v>
      </c>
      <c r="T6" s="20">
        <f>S6*G6</f>
        <v>0</v>
      </c>
      <c r="U6" s="21">
        <f>IF(OR(K6&gt;=Assumptions!$B$5,Q6=1,AND(F6="Core",P6&lt;Assumptions!$B$7)),1,0)</f>
        <v>1</v>
      </c>
      <c r="V6" s="21">
        <f>IF(AND(F6="Seasonal",K6&lt;Assumptions!$B$6,P6&gt;Assumptions!$B$8),1,0)</f>
        <v>0</v>
      </c>
      <c r="W6" s="18">
        <f>IF(U6=1,ROUND(MAX(0,Assumptions!$B$9*R6-J6),0),0)</f>
        <v>87</v>
      </c>
      <c r="X6" s="44" t="str">
        <f t="shared" si="4"/>
        <v>Reorder / replenish</v>
      </c>
    </row>
    <row r="7" spans="1:24" x14ac:dyDescent="0.35">
      <c r="A7" s="43" t="s">
        <v>104</v>
      </c>
      <c r="B7" s="22" t="s">
        <v>64</v>
      </c>
      <c r="C7" s="40" t="str">
        <f>INDEX(Dim_Product!$B:B, MATCH($A7,Dim_Product!$A:$A,0))</f>
        <v>Ribbed Jersey Top</v>
      </c>
      <c r="D7" s="40" t="str">
        <f>INDEX(Dim_Product!$D:D, MATCH($A7,Dim_Product!$A:$A,0))</f>
        <v>Tops</v>
      </c>
      <c r="E7" s="40" t="str">
        <f>INDEX(Dim_Product!$E:E, MATCH($A7,Dim_Product!$A:$A,0))</f>
        <v>White</v>
      </c>
      <c r="F7" s="40" t="str">
        <f>INDEX(Dim_Product!$F:F, MATCH($A7,Dim_Product!$A:$A,0))</f>
        <v>Core</v>
      </c>
      <c r="G7" s="41">
        <f>INDEX(Dim_Product!$G:G, MATCH($A7,Dim_Product!$A:$A,0))</f>
        <v>17.989999999999998</v>
      </c>
      <c r="H7" s="18">
        <f>SUMIFS(Fact_Weekly!$D$2:$D$1500,Fact_Weekly!$B$2:$B$1500,$A7,Fact_Weekly!$C$2:$C$1500,$B7)</f>
        <v>248</v>
      </c>
      <c r="I7" s="18">
        <f>SUMIFS(Fact_Weekly!$E$2:$E$1500,Fact_Weekly!$B$2:$B$1500,$A7,Fact_Weekly!$C$2:$C$1500,$B7)</f>
        <v>231</v>
      </c>
      <c r="J7" s="18">
        <f t="shared" si="0"/>
        <v>17</v>
      </c>
      <c r="K7" s="19">
        <f t="shared" si="1"/>
        <v>0.93145161290322576</v>
      </c>
      <c r="L7" s="18">
        <f>SUMIFS(Fact_Weekly!$E$2:$E$1500,Fact_Weekly!$B$2:$B$1500,$A7,Fact_Weekly!$C$2:$C$1500,$B7,Fact_Weekly!$A$2:$A$1500,"&gt;="&amp;(Assumptions!$B$12-Assumptions!$B$11+1))</f>
        <v>85</v>
      </c>
      <c r="M7" s="42">
        <f>L7/Assumptions!$B$11</f>
        <v>21.25</v>
      </c>
      <c r="N7" s="18">
        <f>COUNTIFS(Fact_Weekly!$B$2:$B$1500,$A7,Fact_Weekly!$C$2:$C$1500,$B7,Fact_Weekly!$G$2:$G$1500,"&gt;0")</f>
        <v>12</v>
      </c>
      <c r="O7" s="42">
        <f t="shared" si="2"/>
        <v>19.25</v>
      </c>
      <c r="P7" s="42">
        <f>IF(M7&gt;0,J7/M7,IF(J7&gt;0,Assumptions!$B$12,0))</f>
        <v>0.8</v>
      </c>
      <c r="Q7" s="21">
        <f>IF(AND(N7&lt;Assumptions!$B$12,K7&gt;=0.99),1,0)</f>
        <v>0</v>
      </c>
      <c r="R7" s="42">
        <f t="shared" si="3"/>
        <v>21.25</v>
      </c>
      <c r="S7" s="42">
        <f>IF(Q7=1,(Assumptions!$B$12-N7)*(H7/Assumptions!$B$12),0)</f>
        <v>0</v>
      </c>
      <c r="T7" s="20">
        <f>S7*G7</f>
        <v>0</v>
      </c>
      <c r="U7" s="21">
        <f>IF(OR(K7&gt;=Assumptions!$B$5,Q7=1,AND(F7="Core",P7&lt;Assumptions!$B$7)),1,0)</f>
        <v>1</v>
      </c>
      <c r="V7" s="21">
        <f>IF(AND(F7="Seasonal",K7&lt;Assumptions!$B$6,P7&gt;Assumptions!$B$8),1,0)</f>
        <v>0</v>
      </c>
      <c r="W7" s="18">
        <f>IF(U7=1,ROUND(MAX(0,Assumptions!$B$9*R7-J7),0),0)</f>
        <v>111</v>
      </c>
      <c r="X7" s="44" t="str">
        <f t="shared" si="4"/>
        <v>Reorder / replenish</v>
      </c>
    </row>
    <row r="8" spans="1:24" x14ac:dyDescent="0.35">
      <c r="A8" s="43" t="s">
        <v>104</v>
      </c>
      <c r="B8" s="22" t="s">
        <v>66</v>
      </c>
      <c r="C8" s="40" t="str">
        <f>INDEX(Dim_Product!$B:B, MATCH($A8,Dim_Product!$A:$A,0))</f>
        <v>Ribbed Jersey Top</v>
      </c>
      <c r="D8" s="40" t="str">
        <f>INDEX(Dim_Product!$D:D, MATCH($A8,Dim_Product!$A:$A,0))</f>
        <v>Tops</v>
      </c>
      <c r="E8" s="40" t="str">
        <f>INDEX(Dim_Product!$E:E, MATCH($A8,Dim_Product!$A:$A,0))</f>
        <v>White</v>
      </c>
      <c r="F8" s="40" t="str">
        <f>INDEX(Dim_Product!$F:F, MATCH($A8,Dim_Product!$A:$A,0))</f>
        <v>Core</v>
      </c>
      <c r="G8" s="41">
        <f>INDEX(Dim_Product!$G:G, MATCH($A8,Dim_Product!$A:$A,0))</f>
        <v>17.989999999999998</v>
      </c>
      <c r="H8" s="18">
        <f>SUMIFS(Fact_Weekly!$D$2:$D$1500,Fact_Weekly!$B$2:$B$1500,$A8,Fact_Weekly!$C$2:$C$1500,$B8)</f>
        <v>168</v>
      </c>
      <c r="I8" s="18">
        <f>SUMIFS(Fact_Weekly!$E$2:$E$1500,Fact_Weekly!$B$2:$B$1500,$A8,Fact_Weekly!$C$2:$C$1500,$B8)</f>
        <v>143</v>
      </c>
      <c r="J8" s="18">
        <f t="shared" si="0"/>
        <v>25</v>
      </c>
      <c r="K8" s="19">
        <f t="shared" si="1"/>
        <v>0.85119047619047616</v>
      </c>
      <c r="L8" s="18">
        <f>SUMIFS(Fact_Weekly!$E$2:$E$1500,Fact_Weekly!$B$2:$B$1500,$A8,Fact_Weekly!$C$2:$C$1500,$B8,Fact_Weekly!$A$2:$A$1500,"&gt;="&amp;(Assumptions!$B$12-Assumptions!$B$11+1))</f>
        <v>49</v>
      </c>
      <c r="M8" s="42">
        <f>L8/Assumptions!$B$11</f>
        <v>12.25</v>
      </c>
      <c r="N8" s="18">
        <f>COUNTIFS(Fact_Weekly!$B$2:$B$1500,$A8,Fact_Weekly!$C$2:$C$1500,$B8,Fact_Weekly!$G$2:$G$1500,"&gt;0")</f>
        <v>12</v>
      </c>
      <c r="O8" s="42">
        <f t="shared" si="2"/>
        <v>11.916666666666666</v>
      </c>
      <c r="P8" s="42">
        <f>IF(M8&gt;0,J8/M8,IF(J8&gt;0,Assumptions!$B$12,0))</f>
        <v>2.0408163265306123</v>
      </c>
      <c r="Q8" s="21">
        <f>IF(AND(N8&lt;Assumptions!$B$12,K8&gt;=0.99),1,0)</f>
        <v>0</v>
      </c>
      <c r="R8" s="42">
        <f t="shared" si="3"/>
        <v>12.25</v>
      </c>
      <c r="S8" s="42">
        <f>IF(Q8=1,(Assumptions!$B$12-N8)*(H8/Assumptions!$B$12),0)</f>
        <v>0</v>
      </c>
      <c r="T8" s="20">
        <f>S8*G8</f>
        <v>0</v>
      </c>
      <c r="U8" s="21">
        <f>IF(OR(K8&gt;=Assumptions!$B$5,Q8=1,AND(F8="Core",P8&lt;Assumptions!$B$7)),1,0)</f>
        <v>1</v>
      </c>
      <c r="V8" s="21">
        <f>IF(AND(F8="Seasonal",K8&lt;Assumptions!$B$6,P8&gt;Assumptions!$B$8),1,0)</f>
        <v>0</v>
      </c>
      <c r="W8" s="18">
        <f>IF(U8=1,ROUND(MAX(0,Assumptions!$B$9*R8-J8),0),0)</f>
        <v>49</v>
      </c>
      <c r="X8" s="44" t="str">
        <f t="shared" si="4"/>
        <v>Reorder / replenish</v>
      </c>
    </row>
    <row r="9" spans="1:24" x14ac:dyDescent="0.35">
      <c r="A9" s="43" t="s">
        <v>104</v>
      </c>
      <c r="B9" s="22" t="s">
        <v>68</v>
      </c>
      <c r="C9" s="40" t="str">
        <f>INDEX(Dim_Product!$B:B, MATCH($A9,Dim_Product!$A:$A,0))</f>
        <v>Ribbed Jersey Top</v>
      </c>
      <c r="D9" s="40" t="str">
        <f>INDEX(Dim_Product!$D:D, MATCH($A9,Dim_Product!$A:$A,0))</f>
        <v>Tops</v>
      </c>
      <c r="E9" s="40" t="str">
        <f>INDEX(Dim_Product!$E:E, MATCH($A9,Dim_Product!$A:$A,0))</f>
        <v>White</v>
      </c>
      <c r="F9" s="40" t="str">
        <f>INDEX(Dim_Product!$F:F, MATCH($A9,Dim_Product!$A:$A,0))</f>
        <v>Core</v>
      </c>
      <c r="G9" s="41">
        <f>INDEX(Dim_Product!$G:G, MATCH($A9,Dim_Product!$A:$A,0))</f>
        <v>17.989999999999998</v>
      </c>
      <c r="H9" s="18">
        <f>SUMIFS(Fact_Weekly!$D$2:$D$1500,Fact_Weekly!$B$2:$B$1500,$A9,Fact_Weekly!$C$2:$C$1500,$B9)</f>
        <v>214</v>
      </c>
      <c r="I9" s="18">
        <f>SUMIFS(Fact_Weekly!$E$2:$E$1500,Fact_Weekly!$B$2:$B$1500,$A9,Fact_Weekly!$C$2:$C$1500,$B9)</f>
        <v>214</v>
      </c>
      <c r="J9" s="18">
        <f t="shared" si="0"/>
        <v>0</v>
      </c>
      <c r="K9" s="19">
        <f t="shared" si="1"/>
        <v>1</v>
      </c>
      <c r="L9" s="18">
        <f>SUMIFS(Fact_Weekly!$E$2:$E$1500,Fact_Weekly!$B$2:$B$1500,$A9,Fact_Weekly!$C$2:$C$1500,$B9,Fact_Weekly!$A$2:$A$1500,"&gt;="&amp;(Assumptions!$B$12-Assumptions!$B$11+1))</f>
        <v>74</v>
      </c>
      <c r="M9" s="42">
        <f>L9/Assumptions!$B$11</f>
        <v>18.5</v>
      </c>
      <c r="N9" s="18">
        <f>COUNTIFS(Fact_Weekly!$B$2:$B$1500,$A9,Fact_Weekly!$C$2:$C$1500,$B9,Fact_Weekly!$G$2:$G$1500,"&gt;0")</f>
        <v>11</v>
      </c>
      <c r="O9" s="42">
        <f t="shared" si="2"/>
        <v>19.454545454545453</v>
      </c>
      <c r="P9" s="42">
        <f>IF(M9&gt;0,J9/M9,IF(J9&gt;0,Assumptions!$B$12,0))</f>
        <v>0</v>
      </c>
      <c r="Q9" s="21">
        <f>IF(AND(N9&lt;Assumptions!$B$12,K9&gt;=0.99),1,0)</f>
        <v>1</v>
      </c>
      <c r="R9" s="42">
        <f t="shared" si="3"/>
        <v>19.454545454545453</v>
      </c>
      <c r="S9" s="42">
        <f>IF(Q9=1,(Assumptions!$B$12-N9)*(H9/Assumptions!$B$12),0)</f>
        <v>17.833333333333332</v>
      </c>
      <c r="T9" s="20">
        <f>S9*G9</f>
        <v>320.8216666666666</v>
      </c>
      <c r="U9" s="21">
        <f>IF(OR(K9&gt;=Assumptions!$B$5,Q9=1,AND(F9="Core",P9&lt;Assumptions!$B$7)),1,0)</f>
        <v>1</v>
      </c>
      <c r="V9" s="21">
        <f>IF(AND(F9="Seasonal",K9&lt;Assumptions!$B$6,P9&gt;Assumptions!$B$8),1,0)</f>
        <v>0</v>
      </c>
      <c r="W9" s="18">
        <f>IF(U9=1,ROUND(MAX(0,Assumptions!$B$9*R9-J9),0),0)</f>
        <v>117</v>
      </c>
      <c r="X9" s="44" t="str">
        <f t="shared" si="4"/>
        <v>Reorder - recover lost sales</v>
      </c>
    </row>
    <row r="10" spans="1:24" x14ac:dyDescent="0.35">
      <c r="A10" s="43" t="s">
        <v>106</v>
      </c>
      <c r="B10" s="22" t="s">
        <v>62</v>
      </c>
      <c r="C10" s="40" t="str">
        <f>INDEX(Dim_Product!$B:B, MATCH($A10,Dim_Product!$A:$A,0))</f>
        <v>Ribbed Jersey Top</v>
      </c>
      <c r="D10" s="40" t="str">
        <f>INDEX(Dim_Product!$D:D, MATCH($A10,Dim_Product!$A:$A,0))</f>
        <v>Tops</v>
      </c>
      <c r="E10" s="40" t="str">
        <f>INDEX(Dim_Product!$E:E, MATCH($A10,Dim_Product!$A:$A,0))</f>
        <v>Sand</v>
      </c>
      <c r="F10" s="40" t="str">
        <f>INDEX(Dim_Product!$F:F, MATCH($A10,Dim_Product!$A:$A,0))</f>
        <v>Core</v>
      </c>
      <c r="G10" s="41">
        <f>INDEX(Dim_Product!$G:G, MATCH($A10,Dim_Product!$A:$A,0))</f>
        <v>17.989999999999998</v>
      </c>
      <c r="H10" s="18">
        <f>SUMIFS(Fact_Weekly!$D$2:$D$1500,Fact_Weekly!$B$2:$B$1500,$A10,Fact_Weekly!$C$2:$C$1500,$B10)</f>
        <v>164</v>
      </c>
      <c r="I10" s="18">
        <f>SUMIFS(Fact_Weekly!$E$2:$E$1500,Fact_Weekly!$B$2:$B$1500,$A10,Fact_Weekly!$C$2:$C$1500,$B10)</f>
        <v>164</v>
      </c>
      <c r="J10" s="18">
        <f t="shared" si="0"/>
        <v>0</v>
      </c>
      <c r="K10" s="19">
        <f t="shared" si="1"/>
        <v>1</v>
      </c>
      <c r="L10" s="18">
        <f>SUMIFS(Fact_Weekly!$E$2:$E$1500,Fact_Weekly!$B$2:$B$1500,$A10,Fact_Weekly!$C$2:$C$1500,$B10,Fact_Weekly!$A$2:$A$1500,"&gt;="&amp;(Assumptions!$B$12-Assumptions!$B$11+1))</f>
        <v>59</v>
      </c>
      <c r="M10" s="42">
        <f>L10/Assumptions!$B$11</f>
        <v>14.75</v>
      </c>
      <c r="N10" s="18">
        <f>COUNTIFS(Fact_Weekly!$B$2:$B$1500,$A10,Fact_Weekly!$C$2:$C$1500,$B10,Fact_Weekly!$G$2:$G$1500,"&gt;0")</f>
        <v>11</v>
      </c>
      <c r="O10" s="42">
        <f t="shared" si="2"/>
        <v>14.909090909090908</v>
      </c>
      <c r="P10" s="42">
        <f>IF(M10&gt;0,J10/M10,IF(J10&gt;0,Assumptions!$B$12,0))</f>
        <v>0</v>
      </c>
      <c r="Q10" s="21">
        <f>IF(AND(N10&lt;Assumptions!$B$12,K10&gt;=0.99),1,0)</f>
        <v>1</v>
      </c>
      <c r="R10" s="42">
        <f t="shared" si="3"/>
        <v>14.909090909090908</v>
      </c>
      <c r="S10" s="42">
        <f>IF(Q10=1,(Assumptions!$B$12-N10)*(H10/Assumptions!$B$12),0)</f>
        <v>13.666666666666666</v>
      </c>
      <c r="T10" s="20">
        <f>S10*G10</f>
        <v>245.86333333333329</v>
      </c>
      <c r="U10" s="21">
        <f>IF(OR(K10&gt;=Assumptions!$B$5,Q10=1,AND(F10="Core",P10&lt;Assumptions!$B$7)),1,0)</f>
        <v>1</v>
      </c>
      <c r="V10" s="21">
        <f>IF(AND(F10="Seasonal",K10&lt;Assumptions!$B$6,P10&gt;Assumptions!$B$8),1,0)</f>
        <v>0</v>
      </c>
      <c r="W10" s="18">
        <f>IF(U10=1,ROUND(MAX(0,Assumptions!$B$9*R10-J10),0),0)</f>
        <v>89</v>
      </c>
      <c r="X10" s="44" t="str">
        <f t="shared" si="4"/>
        <v>Reorder - recover lost sales</v>
      </c>
    </row>
    <row r="11" spans="1:24" x14ac:dyDescent="0.35">
      <c r="A11" s="43" t="s">
        <v>106</v>
      </c>
      <c r="B11" s="22" t="s">
        <v>64</v>
      </c>
      <c r="C11" s="40" t="str">
        <f>INDEX(Dim_Product!$B:B, MATCH($A11,Dim_Product!$A:$A,0))</f>
        <v>Ribbed Jersey Top</v>
      </c>
      <c r="D11" s="40" t="str">
        <f>INDEX(Dim_Product!$D:D, MATCH($A11,Dim_Product!$A:$A,0))</f>
        <v>Tops</v>
      </c>
      <c r="E11" s="40" t="str">
        <f>INDEX(Dim_Product!$E:E, MATCH($A11,Dim_Product!$A:$A,0))</f>
        <v>Sand</v>
      </c>
      <c r="F11" s="40" t="str">
        <f>INDEX(Dim_Product!$F:F, MATCH($A11,Dim_Product!$A:$A,0))</f>
        <v>Core</v>
      </c>
      <c r="G11" s="41">
        <f>INDEX(Dim_Product!$G:G, MATCH($A11,Dim_Product!$A:$A,0))</f>
        <v>17.989999999999998</v>
      </c>
      <c r="H11" s="18">
        <f>SUMIFS(Fact_Weekly!$D$2:$D$1500,Fact_Weekly!$B$2:$B$1500,$A11,Fact_Weekly!$C$2:$C$1500,$B11)</f>
        <v>236</v>
      </c>
      <c r="I11" s="18">
        <f>SUMIFS(Fact_Weekly!$E$2:$E$1500,Fact_Weekly!$B$2:$B$1500,$A11,Fact_Weekly!$C$2:$C$1500,$B11)</f>
        <v>203</v>
      </c>
      <c r="J11" s="18">
        <f t="shared" si="0"/>
        <v>33</v>
      </c>
      <c r="K11" s="19">
        <f t="shared" si="1"/>
        <v>0.86016949152542377</v>
      </c>
      <c r="L11" s="18">
        <f>SUMIFS(Fact_Weekly!$E$2:$E$1500,Fact_Weekly!$B$2:$B$1500,$A11,Fact_Weekly!$C$2:$C$1500,$B11,Fact_Weekly!$A$2:$A$1500,"&gt;="&amp;(Assumptions!$B$12-Assumptions!$B$11+1))</f>
        <v>76</v>
      </c>
      <c r="M11" s="42">
        <f>L11/Assumptions!$B$11</f>
        <v>19</v>
      </c>
      <c r="N11" s="18">
        <f>COUNTIFS(Fact_Weekly!$B$2:$B$1500,$A11,Fact_Weekly!$C$2:$C$1500,$B11,Fact_Weekly!$G$2:$G$1500,"&gt;0")</f>
        <v>12</v>
      </c>
      <c r="O11" s="42">
        <f t="shared" si="2"/>
        <v>16.916666666666668</v>
      </c>
      <c r="P11" s="42">
        <f>IF(M11&gt;0,J11/M11,IF(J11&gt;0,Assumptions!$B$12,0))</f>
        <v>1.736842105263158</v>
      </c>
      <c r="Q11" s="21">
        <f>IF(AND(N11&lt;Assumptions!$B$12,K11&gt;=0.99),1,0)</f>
        <v>0</v>
      </c>
      <c r="R11" s="42">
        <f t="shared" si="3"/>
        <v>19</v>
      </c>
      <c r="S11" s="42">
        <f>IF(Q11=1,(Assumptions!$B$12-N11)*(H11/Assumptions!$B$12),0)</f>
        <v>0</v>
      </c>
      <c r="T11" s="20">
        <f>S11*G11</f>
        <v>0</v>
      </c>
      <c r="U11" s="21">
        <f>IF(OR(K11&gt;=Assumptions!$B$5,Q11=1,AND(F11="Core",P11&lt;Assumptions!$B$7)),1,0)</f>
        <v>1</v>
      </c>
      <c r="V11" s="21">
        <f>IF(AND(F11="Seasonal",K11&lt;Assumptions!$B$6,P11&gt;Assumptions!$B$8),1,0)</f>
        <v>0</v>
      </c>
      <c r="W11" s="18">
        <f>IF(U11=1,ROUND(MAX(0,Assumptions!$B$9*R11-J11),0),0)</f>
        <v>81</v>
      </c>
      <c r="X11" s="44" t="str">
        <f t="shared" si="4"/>
        <v>Reorder / replenish</v>
      </c>
    </row>
    <row r="12" spans="1:24" x14ac:dyDescent="0.35">
      <c r="A12" s="43" t="s">
        <v>106</v>
      </c>
      <c r="B12" s="22" t="s">
        <v>66</v>
      </c>
      <c r="C12" s="40" t="str">
        <f>INDEX(Dim_Product!$B:B, MATCH($A12,Dim_Product!$A:$A,0))</f>
        <v>Ribbed Jersey Top</v>
      </c>
      <c r="D12" s="40" t="str">
        <f>INDEX(Dim_Product!$D:D, MATCH($A12,Dim_Product!$A:$A,0))</f>
        <v>Tops</v>
      </c>
      <c r="E12" s="40" t="str">
        <f>INDEX(Dim_Product!$E:E, MATCH($A12,Dim_Product!$A:$A,0))</f>
        <v>Sand</v>
      </c>
      <c r="F12" s="40" t="str">
        <f>INDEX(Dim_Product!$F:F, MATCH($A12,Dim_Product!$A:$A,0))</f>
        <v>Core</v>
      </c>
      <c r="G12" s="41">
        <f>INDEX(Dim_Product!$G:G, MATCH($A12,Dim_Product!$A:$A,0))</f>
        <v>17.989999999999998</v>
      </c>
      <c r="H12" s="18">
        <f>SUMIFS(Fact_Weekly!$D$2:$D$1500,Fact_Weekly!$B$2:$B$1500,$A12,Fact_Weekly!$C$2:$C$1500,$B12)</f>
        <v>142</v>
      </c>
      <c r="I12" s="18">
        <f>SUMIFS(Fact_Weekly!$E$2:$E$1500,Fact_Weekly!$B$2:$B$1500,$A12,Fact_Weekly!$C$2:$C$1500,$B12)</f>
        <v>141</v>
      </c>
      <c r="J12" s="18">
        <f t="shared" si="0"/>
        <v>1</v>
      </c>
      <c r="K12" s="19">
        <f t="shared" si="1"/>
        <v>0.99295774647887325</v>
      </c>
      <c r="L12" s="18">
        <f>SUMIFS(Fact_Weekly!$E$2:$E$1500,Fact_Weekly!$B$2:$B$1500,$A12,Fact_Weekly!$C$2:$C$1500,$B12,Fact_Weekly!$A$2:$A$1500,"&gt;="&amp;(Assumptions!$B$12-Assumptions!$B$11+1))</f>
        <v>48</v>
      </c>
      <c r="M12" s="42">
        <f>L12/Assumptions!$B$11</f>
        <v>12</v>
      </c>
      <c r="N12" s="18">
        <f>COUNTIFS(Fact_Weekly!$B$2:$B$1500,$A12,Fact_Weekly!$C$2:$C$1500,$B12,Fact_Weekly!$G$2:$G$1500,"&gt;0")</f>
        <v>12</v>
      </c>
      <c r="O12" s="42">
        <f t="shared" si="2"/>
        <v>11.75</v>
      </c>
      <c r="P12" s="42">
        <f>IF(M12&gt;0,J12/M12,IF(J12&gt;0,Assumptions!$B$12,0))</f>
        <v>8.3333333333333329E-2</v>
      </c>
      <c r="Q12" s="21">
        <f>IF(AND(N12&lt;Assumptions!$B$12,K12&gt;=0.99),1,0)</f>
        <v>0</v>
      </c>
      <c r="R12" s="42">
        <f t="shared" si="3"/>
        <v>12</v>
      </c>
      <c r="S12" s="42">
        <f>IF(Q12=1,(Assumptions!$B$12-N12)*(H12/Assumptions!$B$12),0)</f>
        <v>0</v>
      </c>
      <c r="T12" s="20">
        <f>S12*G12</f>
        <v>0</v>
      </c>
      <c r="U12" s="21">
        <f>IF(OR(K12&gt;=Assumptions!$B$5,Q12=1,AND(F12="Core",P12&lt;Assumptions!$B$7)),1,0)</f>
        <v>1</v>
      </c>
      <c r="V12" s="21">
        <f>IF(AND(F12="Seasonal",K12&lt;Assumptions!$B$6,P12&gt;Assumptions!$B$8),1,0)</f>
        <v>0</v>
      </c>
      <c r="W12" s="18">
        <f>IF(U12=1,ROUND(MAX(0,Assumptions!$B$9*R12-J12),0),0)</f>
        <v>71</v>
      </c>
      <c r="X12" s="44" t="str">
        <f t="shared" si="4"/>
        <v>Reorder / replenish</v>
      </c>
    </row>
    <row r="13" spans="1:24" x14ac:dyDescent="0.35">
      <c r="A13" s="43" t="s">
        <v>106</v>
      </c>
      <c r="B13" s="22" t="s">
        <v>68</v>
      </c>
      <c r="C13" s="40" t="str">
        <f>INDEX(Dim_Product!$B:B, MATCH($A13,Dim_Product!$A:$A,0))</f>
        <v>Ribbed Jersey Top</v>
      </c>
      <c r="D13" s="40" t="str">
        <f>INDEX(Dim_Product!$D:D, MATCH($A13,Dim_Product!$A:$A,0))</f>
        <v>Tops</v>
      </c>
      <c r="E13" s="40" t="str">
        <f>INDEX(Dim_Product!$E:E, MATCH($A13,Dim_Product!$A:$A,0))</f>
        <v>Sand</v>
      </c>
      <c r="F13" s="40" t="str">
        <f>INDEX(Dim_Product!$F:F, MATCH($A13,Dim_Product!$A:$A,0))</f>
        <v>Core</v>
      </c>
      <c r="G13" s="41">
        <f>INDEX(Dim_Product!$G:G, MATCH($A13,Dim_Product!$A:$A,0))</f>
        <v>17.989999999999998</v>
      </c>
      <c r="H13" s="18">
        <f>SUMIFS(Fact_Weekly!$D$2:$D$1500,Fact_Weekly!$B$2:$B$1500,$A13,Fact_Weekly!$C$2:$C$1500,$B13)</f>
        <v>191</v>
      </c>
      <c r="I13" s="18">
        <f>SUMIFS(Fact_Weekly!$E$2:$E$1500,Fact_Weekly!$B$2:$B$1500,$A13,Fact_Weekly!$C$2:$C$1500,$B13)</f>
        <v>186</v>
      </c>
      <c r="J13" s="18">
        <f t="shared" si="0"/>
        <v>5</v>
      </c>
      <c r="K13" s="19">
        <f t="shared" si="1"/>
        <v>0.97382198952879584</v>
      </c>
      <c r="L13" s="18">
        <f>SUMIFS(Fact_Weekly!$E$2:$E$1500,Fact_Weekly!$B$2:$B$1500,$A13,Fact_Weekly!$C$2:$C$1500,$B13,Fact_Weekly!$A$2:$A$1500,"&gt;="&amp;(Assumptions!$B$12-Assumptions!$B$11+1))</f>
        <v>66</v>
      </c>
      <c r="M13" s="42">
        <f>L13/Assumptions!$B$11</f>
        <v>16.5</v>
      </c>
      <c r="N13" s="18">
        <f>COUNTIFS(Fact_Weekly!$B$2:$B$1500,$A13,Fact_Weekly!$C$2:$C$1500,$B13,Fact_Weekly!$G$2:$G$1500,"&gt;0")</f>
        <v>12</v>
      </c>
      <c r="O13" s="42">
        <f t="shared" si="2"/>
        <v>15.5</v>
      </c>
      <c r="P13" s="42">
        <f>IF(M13&gt;0,J13/M13,IF(J13&gt;0,Assumptions!$B$12,0))</f>
        <v>0.30303030303030304</v>
      </c>
      <c r="Q13" s="21">
        <f>IF(AND(N13&lt;Assumptions!$B$12,K13&gt;=0.99),1,0)</f>
        <v>0</v>
      </c>
      <c r="R13" s="42">
        <f t="shared" si="3"/>
        <v>16.5</v>
      </c>
      <c r="S13" s="42">
        <f>IF(Q13=1,(Assumptions!$B$12-N13)*(H13/Assumptions!$B$12),0)</f>
        <v>0</v>
      </c>
      <c r="T13" s="20">
        <f>S13*G13</f>
        <v>0</v>
      </c>
      <c r="U13" s="21">
        <f>IF(OR(K13&gt;=Assumptions!$B$5,Q13=1,AND(F13="Core",P13&lt;Assumptions!$B$7)),1,0)</f>
        <v>1</v>
      </c>
      <c r="V13" s="21">
        <f>IF(AND(F13="Seasonal",K13&lt;Assumptions!$B$6,P13&gt;Assumptions!$B$8),1,0)</f>
        <v>0</v>
      </c>
      <c r="W13" s="18">
        <f>IF(U13=1,ROUND(MAX(0,Assumptions!$B$9*R13-J13),0),0)</f>
        <v>94</v>
      </c>
      <c r="X13" s="44" t="str">
        <f t="shared" si="4"/>
        <v>Reorder / replenish</v>
      </c>
    </row>
    <row r="14" spans="1:24" x14ac:dyDescent="0.35">
      <c r="A14" s="43" t="s">
        <v>108</v>
      </c>
      <c r="B14" s="22" t="s">
        <v>62</v>
      </c>
      <c r="C14" s="40" t="str">
        <f>INDEX(Dim_Product!$B:B, MATCH($A14,Dim_Product!$A:$A,0))</f>
        <v>Fine-Knit Cardigan</v>
      </c>
      <c r="D14" s="40" t="str">
        <f>INDEX(Dim_Product!$D:D, MATCH($A14,Dim_Product!$A:$A,0))</f>
        <v>Knitwear</v>
      </c>
      <c r="E14" s="40" t="str">
        <f>INDEX(Dim_Product!$E:E, MATCH($A14,Dim_Product!$A:$A,0))</f>
        <v>Ecru</v>
      </c>
      <c r="F14" s="40" t="str">
        <f>INDEX(Dim_Product!$F:F, MATCH($A14,Dim_Product!$A:$A,0))</f>
        <v>Core</v>
      </c>
      <c r="G14" s="41">
        <f>INDEX(Dim_Product!$G:G, MATCH($A14,Dim_Product!$A:$A,0))</f>
        <v>39.99</v>
      </c>
      <c r="H14" s="18">
        <f>SUMIFS(Fact_Weekly!$D$2:$D$1500,Fact_Weekly!$B$2:$B$1500,$A14,Fact_Weekly!$C$2:$C$1500,$B14)</f>
        <v>132</v>
      </c>
      <c r="I14" s="18">
        <f>SUMIFS(Fact_Weekly!$E$2:$E$1500,Fact_Weekly!$B$2:$B$1500,$A14,Fact_Weekly!$C$2:$C$1500,$B14)</f>
        <v>132</v>
      </c>
      <c r="J14" s="18">
        <f t="shared" si="0"/>
        <v>0</v>
      </c>
      <c r="K14" s="19">
        <f t="shared" si="1"/>
        <v>1</v>
      </c>
      <c r="L14" s="18">
        <f>SUMIFS(Fact_Weekly!$E$2:$E$1500,Fact_Weekly!$B$2:$B$1500,$A14,Fact_Weekly!$C$2:$C$1500,$B14,Fact_Weekly!$A$2:$A$1500,"&gt;="&amp;(Assumptions!$B$12-Assumptions!$B$11+1))</f>
        <v>41</v>
      </c>
      <c r="M14" s="42">
        <f>L14/Assumptions!$B$11</f>
        <v>10.25</v>
      </c>
      <c r="N14" s="18">
        <f>COUNTIFS(Fact_Weekly!$B$2:$B$1500,$A14,Fact_Weekly!$C$2:$C$1500,$B14,Fact_Weekly!$G$2:$G$1500,"&gt;0")</f>
        <v>11</v>
      </c>
      <c r="O14" s="42">
        <f t="shared" si="2"/>
        <v>12</v>
      </c>
      <c r="P14" s="42">
        <f>IF(M14&gt;0,J14/M14,IF(J14&gt;0,Assumptions!$B$12,0))</f>
        <v>0</v>
      </c>
      <c r="Q14" s="21">
        <f>IF(AND(N14&lt;Assumptions!$B$12,K14&gt;=0.99),1,0)</f>
        <v>1</v>
      </c>
      <c r="R14" s="42">
        <f t="shared" si="3"/>
        <v>12</v>
      </c>
      <c r="S14" s="42">
        <f>IF(Q14=1,(Assumptions!$B$12-N14)*(H14/Assumptions!$B$12),0)</f>
        <v>11</v>
      </c>
      <c r="T14" s="20">
        <f>S14*G14</f>
        <v>439.89000000000004</v>
      </c>
      <c r="U14" s="21">
        <f>IF(OR(K14&gt;=Assumptions!$B$5,Q14=1,AND(F14="Core",P14&lt;Assumptions!$B$7)),1,0)</f>
        <v>1</v>
      </c>
      <c r="V14" s="21">
        <f>IF(AND(F14="Seasonal",K14&lt;Assumptions!$B$6,P14&gt;Assumptions!$B$8),1,0)</f>
        <v>0</v>
      </c>
      <c r="W14" s="18">
        <f>IF(U14=1,ROUND(MAX(0,Assumptions!$B$9*R14-J14),0),0)</f>
        <v>72</v>
      </c>
      <c r="X14" s="44" t="str">
        <f t="shared" si="4"/>
        <v>Reorder - recover lost sales</v>
      </c>
    </row>
    <row r="15" spans="1:24" x14ac:dyDescent="0.35">
      <c r="A15" s="43" t="s">
        <v>108</v>
      </c>
      <c r="B15" s="22" t="s">
        <v>64</v>
      </c>
      <c r="C15" s="40" t="str">
        <f>INDEX(Dim_Product!$B:B, MATCH($A15,Dim_Product!$A:$A,0))</f>
        <v>Fine-Knit Cardigan</v>
      </c>
      <c r="D15" s="40" t="str">
        <f>INDEX(Dim_Product!$D:D, MATCH($A15,Dim_Product!$A:$A,0))</f>
        <v>Knitwear</v>
      </c>
      <c r="E15" s="40" t="str">
        <f>INDEX(Dim_Product!$E:E, MATCH($A15,Dim_Product!$A:$A,0))</f>
        <v>Ecru</v>
      </c>
      <c r="F15" s="40" t="str">
        <f>INDEX(Dim_Product!$F:F, MATCH($A15,Dim_Product!$A:$A,0))</f>
        <v>Core</v>
      </c>
      <c r="G15" s="41">
        <f>INDEX(Dim_Product!$G:G, MATCH($A15,Dim_Product!$A:$A,0))</f>
        <v>39.99</v>
      </c>
      <c r="H15" s="18">
        <f>SUMIFS(Fact_Weekly!$D$2:$D$1500,Fact_Weekly!$B$2:$B$1500,$A15,Fact_Weekly!$C$2:$C$1500,$B15)</f>
        <v>210</v>
      </c>
      <c r="I15" s="18">
        <f>SUMIFS(Fact_Weekly!$E$2:$E$1500,Fact_Weekly!$B$2:$B$1500,$A15,Fact_Weekly!$C$2:$C$1500,$B15)</f>
        <v>197</v>
      </c>
      <c r="J15" s="18">
        <f t="shared" si="0"/>
        <v>13</v>
      </c>
      <c r="K15" s="19">
        <f t="shared" si="1"/>
        <v>0.93809523809523809</v>
      </c>
      <c r="L15" s="18">
        <f>SUMIFS(Fact_Weekly!$E$2:$E$1500,Fact_Weekly!$B$2:$B$1500,$A15,Fact_Weekly!$C$2:$C$1500,$B15,Fact_Weekly!$A$2:$A$1500,"&gt;="&amp;(Assumptions!$B$12-Assumptions!$B$11+1))</f>
        <v>64</v>
      </c>
      <c r="M15" s="42">
        <f>L15/Assumptions!$B$11</f>
        <v>16</v>
      </c>
      <c r="N15" s="18">
        <f>COUNTIFS(Fact_Weekly!$B$2:$B$1500,$A15,Fact_Weekly!$C$2:$C$1500,$B15,Fact_Weekly!$G$2:$G$1500,"&gt;0")</f>
        <v>12</v>
      </c>
      <c r="O15" s="42">
        <f t="shared" si="2"/>
        <v>16.416666666666668</v>
      </c>
      <c r="P15" s="42">
        <f>IF(M15&gt;0,J15/M15,IF(J15&gt;0,Assumptions!$B$12,0))</f>
        <v>0.8125</v>
      </c>
      <c r="Q15" s="21">
        <f>IF(AND(N15&lt;Assumptions!$B$12,K15&gt;=0.99),1,0)</f>
        <v>0</v>
      </c>
      <c r="R15" s="42">
        <f t="shared" si="3"/>
        <v>16</v>
      </c>
      <c r="S15" s="42">
        <f>IF(Q15=1,(Assumptions!$B$12-N15)*(H15/Assumptions!$B$12),0)</f>
        <v>0</v>
      </c>
      <c r="T15" s="20">
        <f>S15*G15</f>
        <v>0</v>
      </c>
      <c r="U15" s="21">
        <f>IF(OR(K15&gt;=Assumptions!$B$5,Q15=1,AND(F15="Core",P15&lt;Assumptions!$B$7)),1,0)</f>
        <v>1</v>
      </c>
      <c r="V15" s="21">
        <f>IF(AND(F15="Seasonal",K15&lt;Assumptions!$B$6,P15&gt;Assumptions!$B$8),1,0)</f>
        <v>0</v>
      </c>
      <c r="W15" s="18">
        <f>IF(U15=1,ROUND(MAX(0,Assumptions!$B$9*R15-J15),0),0)</f>
        <v>83</v>
      </c>
      <c r="X15" s="44" t="str">
        <f t="shared" si="4"/>
        <v>Reorder / replenish</v>
      </c>
    </row>
    <row r="16" spans="1:24" x14ac:dyDescent="0.35">
      <c r="A16" s="43" t="s">
        <v>108</v>
      </c>
      <c r="B16" s="22" t="s">
        <v>66</v>
      </c>
      <c r="C16" s="40" t="str">
        <f>INDEX(Dim_Product!$B:B, MATCH($A16,Dim_Product!$A:$A,0))</f>
        <v>Fine-Knit Cardigan</v>
      </c>
      <c r="D16" s="40" t="str">
        <f>INDEX(Dim_Product!$D:D, MATCH($A16,Dim_Product!$A:$A,0))</f>
        <v>Knitwear</v>
      </c>
      <c r="E16" s="40" t="str">
        <f>INDEX(Dim_Product!$E:E, MATCH($A16,Dim_Product!$A:$A,0))</f>
        <v>Ecru</v>
      </c>
      <c r="F16" s="40" t="str">
        <f>INDEX(Dim_Product!$F:F, MATCH($A16,Dim_Product!$A:$A,0))</f>
        <v>Core</v>
      </c>
      <c r="G16" s="41">
        <f>INDEX(Dim_Product!$G:G, MATCH($A16,Dim_Product!$A:$A,0))</f>
        <v>39.99</v>
      </c>
      <c r="H16" s="18">
        <f>SUMIFS(Fact_Weekly!$D$2:$D$1500,Fact_Weekly!$B$2:$B$1500,$A16,Fact_Weekly!$C$2:$C$1500,$B16)</f>
        <v>118</v>
      </c>
      <c r="I16" s="18">
        <f>SUMIFS(Fact_Weekly!$E$2:$E$1500,Fact_Weekly!$B$2:$B$1500,$A16,Fact_Weekly!$C$2:$C$1500,$B16)</f>
        <v>111</v>
      </c>
      <c r="J16" s="18">
        <f t="shared" si="0"/>
        <v>7</v>
      </c>
      <c r="K16" s="19">
        <f t="shared" si="1"/>
        <v>0.94067796610169496</v>
      </c>
      <c r="L16" s="18">
        <f>SUMIFS(Fact_Weekly!$E$2:$E$1500,Fact_Weekly!$B$2:$B$1500,$A16,Fact_Weekly!$C$2:$C$1500,$B16,Fact_Weekly!$A$2:$A$1500,"&gt;="&amp;(Assumptions!$B$12-Assumptions!$B$11+1))</f>
        <v>38</v>
      </c>
      <c r="M16" s="42">
        <f>L16/Assumptions!$B$11</f>
        <v>9.5</v>
      </c>
      <c r="N16" s="18">
        <f>COUNTIFS(Fact_Weekly!$B$2:$B$1500,$A16,Fact_Weekly!$C$2:$C$1500,$B16,Fact_Weekly!$G$2:$G$1500,"&gt;0")</f>
        <v>12</v>
      </c>
      <c r="O16" s="42">
        <f t="shared" si="2"/>
        <v>9.25</v>
      </c>
      <c r="P16" s="42">
        <f>IF(M16&gt;0,J16/M16,IF(J16&gt;0,Assumptions!$B$12,0))</f>
        <v>0.73684210526315785</v>
      </c>
      <c r="Q16" s="21">
        <f>IF(AND(N16&lt;Assumptions!$B$12,K16&gt;=0.99),1,0)</f>
        <v>0</v>
      </c>
      <c r="R16" s="42">
        <f t="shared" si="3"/>
        <v>9.5</v>
      </c>
      <c r="S16" s="42">
        <f>IF(Q16=1,(Assumptions!$B$12-N16)*(H16/Assumptions!$B$12),0)</f>
        <v>0</v>
      </c>
      <c r="T16" s="20">
        <f>S16*G16</f>
        <v>0</v>
      </c>
      <c r="U16" s="21">
        <f>IF(OR(K16&gt;=Assumptions!$B$5,Q16=1,AND(F16="Core",P16&lt;Assumptions!$B$7)),1,0)</f>
        <v>1</v>
      </c>
      <c r="V16" s="21">
        <f>IF(AND(F16="Seasonal",K16&lt;Assumptions!$B$6,P16&gt;Assumptions!$B$8),1,0)</f>
        <v>0</v>
      </c>
      <c r="W16" s="18">
        <f>IF(U16=1,ROUND(MAX(0,Assumptions!$B$9*R16-J16),0),0)</f>
        <v>50</v>
      </c>
      <c r="X16" s="44" t="str">
        <f t="shared" si="4"/>
        <v>Reorder / replenish</v>
      </c>
    </row>
    <row r="17" spans="1:24" x14ac:dyDescent="0.35">
      <c r="A17" s="43" t="s">
        <v>108</v>
      </c>
      <c r="B17" s="22" t="s">
        <v>68</v>
      </c>
      <c r="C17" s="40" t="str">
        <f>INDEX(Dim_Product!$B:B, MATCH($A17,Dim_Product!$A:$A,0))</f>
        <v>Fine-Knit Cardigan</v>
      </c>
      <c r="D17" s="40" t="str">
        <f>INDEX(Dim_Product!$D:D, MATCH($A17,Dim_Product!$A:$A,0))</f>
        <v>Knitwear</v>
      </c>
      <c r="E17" s="40" t="str">
        <f>INDEX(Dim_Product!$E:E, MATCH($A17,Dim_Product!$A:$A,0))</f>
        <v>Ecru</v>
      </c>
      <c r="F17" s="40" t="str">
        <f>INDEX(Dim_Product!$F:F, MATCH($A17,Dim_Product!$A:$A,0))</f>
        <v>Core</v>
      </c>
      <c r="G17" s="41">
        <f>INDEX(Dim_Product!$G:G, MATCH($A17,Dim_Product!$A:$A,0))</f>
        <v>39.99</v>
      </c>
      <c r="H17" s="18">
        <f>SUMIFS(Fact_Weekly!$D$2:$D$1500,Fact_Weekly!$B$2:$B$1500,$A17,Fact_Weekly!$C$2:$C$1500,$B17)</f>
        <v>158</v>
      </c>
      <c r="I17" s="18">
        <f>SUMIFS(Fact_Weekly!$E$2:$E$1500,Fact_Weekly!$B$2:$B$1500,$A17,Fact_Weekly!$C$2:$C$1500,$B17)</f>
        <v>151</v>
      </c>
      <c r="J17" s="18">
        <f t="shared" si="0"/>
        <v>7</v>
      </c>
      <c r="K17" s="19">
        <f t="shared" si="1"/>
        <v>0.95569620253164556</v>
      </c>
      <c r="L17" s="18">
        <f>SUMIFS(Fact_Weekly!$E$2:$E$1500,Fact_Weekly!$B$2:$B$1500,$A17,Fact_Weekly!$C$2:$C$1500,$B17,Fact_Weekly!$A$2:$A$1500,"&gt;="&amp;(Assumptions!$B$12-Assumptions!$B$11+1))</f>
        <v>52</v>
      </c>
      <c r="M17" s="42">
        <f>L17/Assumptions!$B$11</f>
        <v>13</v>
      </c>
      <c r="N17" s="18">
        <f>COUNTIFS(Fact_Weekly!$B$2:$B$1500,$A17,Fact_Weekly!$C$2:$C$1500,$B17,Fact_Weekly!$G$2:$G$1500,"&gt;0")</f>
        <v>12</v>
      </c>
      <c r="O17" s="42">
        <f t="shared" si="2"/>
        <v>12.583333333333334</v>
      </c>
      <c r="P17" s="42">
        <f>IF(M17&gt;0,J17/M17,IF(J17&gt;0,Assumptions!$B$12,0))</f>
        <v>0.53846153846153844</v>
      </c>
      <c r="Q17" s="21">
        <f>IF(AND(N17&lt;Assumptions!$B$12,K17&gt;=0.99),1,0)</f>
        <v>0</v>
      </c>
      <c r="R17" s="42">
        <f t="shared" si="3"/>
        <v>13</v>
      </c>
      <c r="S17" s="42">
        <f>IF(Q17=1,(Assumptions!$B$12-N17)*(H17/Assumptions!$B$12),0)</f>
        <v>0</v>
      </c>
      <c r="T17" s="20">
        <f>S17*G17</f>
        <v>0</v>
      </c>
      <c r="U17" s="21">
        <f>IF(OR(K17&gt;=Assumptions!$B$5,Q17=1,AND(F17="Core",P17&lt;Assumptions!$B$7)),1,0)</f>
        <v>1</v>
      </c>
      <c r="V17" s="21">
        <f>IF(AND(F17="Seasonal",K17&lt;Assumptions!$B$6,P17&gt;Assumptions!$B$8),1,0)</f>
        <v>0</v>
      </c>
      <c r="W17" s="18">
        <f>IF(U17=1,ROUND(MAX(0,Assumptions!$B$9*R17-J17),0),0)</f>
        <v>71</v>
      </c>
      <c r="X17" s="44" t="str">
        <f t="shared" si="4"/>
        <v>Reorder / replenish</v>
      </c>
    </row>
    <row r="18" spans="1:24" x14ac:dyDescent="0.35">
      <c r="A18" s="43" t="s">
        <v>112</v>
      </c>
      <c r="B18" s="22" t="s">
        <v>62</v>
      </c>
      <c r="C18" s="40" t="str">
        <f>INDEX(Dim_Product!$B:B, MATCH($A18,Dim_Product!$A:$A,0))</f>
        <v>Fine-Knit Cardigan</v>
      </c>
      <c r="D18" s="40" t="str">
        <f>INDEX(Dim_Product!$D:D, MATCH($A18,Dim_Product!$A:$A,0))</f>
        <v>Knitwear</v>
      </c>
      <c r="E18" s="40" t="str">
        <f>INDEX(Dim_Product!$E:E, MATCH($A18,Dim_Product!$A:$A,0))</f>
        <v>Navy</v>
      </c>
      <c r="F18" s="40" t="str">
        <f>INDEX(Dim_Product!$F:F, MATCH($A18,Dim_Product!$A:$A,0))</f>
        <v>Core</v>
      </c>
      <c r="G18" s="41">
        <f>INDEX(Dim_Product!$G:G, MATCH($A18,Dim_Product!$A:$A,0))</f>
        <v>39.99</v>
      </c>
      <c r="H18" s="18">
        <f>SUMIFS(Fact_Weekly!$D$2:$D$1500,Fact_Weekly!$B$2:$B$1500,$A18,Fact_Weekly!$C$2:$C$1500,$B18)</f>
        <v>114</v>
      </c>
      <c r="I18" s="18">
        <f>SUMIFS(Fact_Weekly!$E$2:$E$1500,Fact_Weekly!$B$2:$B$1500,$A18,Fact_Weekly!$C$2:$C$1500,$B18)</f>
        <v>106</v>
      </c>
      <c r="J18" s="18">
        <f t="shared" si="0"/>
        <v>8</v>
      </c>
      <c r="K18" s="19">
        <f t="shared" si="1"/>
        <v>0.92982456140350878</v>
      </c>
      <c r="L18" s="18">
        <f>SUMIFS(Fact_Weekly!$E$2:$E$1500,Fact_Weekly!$B$2:$B$1500,$A18,Fact_Weekly!$C$2:$C$1500,$B18,Fact_Weekly!$A$2:$A$1500,"&gt;="&amp;(Assumptions!$B$12-Assumptions!$B$11+1))</f>
        <v>38</v>
      </c>
      <c r="M18" s="42">
        <f>L18/Assumptions!$B$11</f>
        <v>9.5</v>
      </c>
      <c r="N18" s="18">
        <f>COUNTIFS(Fact_Weekly!$B$2:$B$1500,$A18,Fact_Weekly!$C$2:$C$1500,$B18,Fact_Weekly!$G$2:$G$1500,"&gt;0")</f>
        <v>12</v>
      </c>
      <c r="O18" s="42">
        <f t="shared" si="2"/>
        <v>8.8333333333333339</v>
      </c>
      <c r="P18" s="42">
        <f>IF(M18&gt;0,J18/M18,IF(J18&gt;0,Assumptions!$B$12,0))</f>
        <v>0.84210526315789469</v>
      </c>
      <c r="Q18" s="21">
        <f>IF(AND(N18&lt;Assumptions!$B$12,K18&gt;=0.99),1,0)</f>
        <v>0</v>
      </c>
      <c r="R18" s="42">
        <f t="shared" si="3"/>
        <v>9.5</v>
      </c>
      <c r="S18" s="42">
        <f>IF(Q18=1,(Assumptions!$B$12-N18)*(H18/Assumptions!$B$12),0)</f>
        <v>0</v>
      </c>
      <c r="T18" s="20">
        <f>S18*G18</f>
        <v>0</v>
      </c>
      <c r="U18" s="21">
        <f>IF(OR(K18&gt;=Assumptions!$B$5,Q18=1,AND(F18="Core",P18&lt;Assumptions!$B$7)),1,0)</f>
        <v>1</v>
      </c>
      <c r="V18" s="21">
        <f>IF(AND(F18="Seasonal",K18&lt;Assumptions!$B$6,P18&gt;Assumptions!$B$8),1,0)</f>
        <v>0</v>
      </c>
      <c r="W18" s="18">
        <f>IF(U18=1,ROUND(MAX(0,Assumptions!$B$9*R18-J18),0),0)</f>
        <v>49</v>
      </c>
      <c r="X18" s="44" t="str">
        <f t="shared" si="4"/>
        <v>Reorder / replenish</v>
      </c>
    </row>
    <row r="19" spans="1:24" x14ac:dyDescent="0.35">
      <c r="A19" s="43" t="s">
        <v>112</v>
      </c>
      <c r="B19" s="22" t="s">
        <v>64</v>
      </c>
      <c r="C19" s="40" t="str">
        <f>INDEX(Dim_Product!$B:B, MATCH($A19,Dim_Product!$A:$A,0))</f>
        <v>Fine-Knit Cardigan</v>
      </c>
      <c r="D19" s="40" t="str">
        <f>INDEX(Dim_Product!$D:D, MATCH($A19,Dim_Product!$A:$A,0))</f>
        <v>Knitwear</v>
      </c>
      <c r="E19" s="40" t="str">
        <f>INDEX(Dim_Product!$E:E, MATCH($A19,Dim_Product!$A:$A,0))</f>
        <v>Navy</v>
      </c>
      <c r="F19" s="40" t="str">
        <f>INDEX(Dim_Product!$F:F, MATCH($A19,Dim_Product!$A:$A,0))</f>
        <v>Core</v>
      </c>
      <c r="G19" s="41">
        <f>INDEX(Dim_Product!$G:G, MATCH($A19,Dim_Product!$A:$A,0))</f>
        <v>39.99</v>
      </c>
      <c r="H19" s="18">
        <f>SUMIFS(Fact_Weekly!$D$2:$D$1500,Fact_Weekly!$B$2:$B$1500,$A19,Fact_Weekly!$C$2:$C$1500,$B19)</f>
        <v>131</v>
      </c>
      <c r="I19" s="18">
        <f>SUMIFS(Fact_Weekly!$E$2:$E$1500,Fact_Weekly!$B$2:$B$1500,$A19,Fact_Weekly!$C$2:$C$1500,$B19)</f>
        <v>131</v>
      </c>
      <c r="J19" s="18">
        <f t="shared" si="0"/>
        <v>0</v>
      </c>
      <c r="K19" s="19">
        <f t="shared" si="1"/>
        <v>1</v>
      </c>
      <c r="L19" s="18">
        <f>SUMIFS(Fact_Weekly!$E$2:$E$1500,Fact_Weekly!$B$2:$B$1500,$A19,Fact_Weekly!$C$2:$C$1500,$B19,Fact_Weekly!$A$2:$A$1500,"&gt;="&amp;(Assumptions!$B$12-Assumptions!$B$11+1))</f>
        <v>37</v>
      </c>
      <c r="M19" s="42">
        <f>L19/Assumptions!$B$11</f>
        <v>9.25</v>
      </c>
      <c r="N19" s="18">
        <f>COUNTIFS(Fact_Weekly!$B$2:$B$1500,$A19,Fact_Weekly!$C$2:$C$1500,$B19,Fact_Weekly!$G$2:$G$1500,"&gt;0")</f>
        <v>10</v>
      </c>
      <c r="O19" s="42">
        <f t="shared" si="2"/>
        <v>13.1</v>
      </c>
      <c r="P19" s="42">
        <f>IF(M19&gt;0,J19/M19,IF(J19&gt;0,Assumptions!$B$12,0))</f>
        <v>0</v>
      </c>
      <c r="Q19" s="21">
        <f>IF(AND(N19&lt;Assumptions!$B$12,K19&gt;=0.99),1,0)</f>
        <v>1</v>
      </c>
      <c r="R19" s="42">
        <f t="shared" si="3"/>
        <v>13.1</v>
      </c>
      <c r="S19" s="42">
        <f>IF(Q19=1,(Assumptions!$B$12-N19)*(H19/Assumptions!$B$12),0)</f>
        <v>21.833333333333332</v>
      </c>
      <c r="T19" s="20">
        <f>S19*G19</f>
        <v>873.11500000000001</v>
      </c>
      <c r="U19" s="21">
        <f>IF(OR(K19&gt;=Assumptions!$B$5,Q19=1,AND(F19="Core",P19&lt;Assumptions!$B$7)),1,0)</f>
        <v>1</v>
      </c>
      <c r="V19" s="21">
        <f>IF(AND(F19="Seasonal",K19&lt;Assumptions!$B$6,P19&gt;Assumptions!$B$8),1,0)</f>
        <v>0</v>
      </c>
      <c r="W19" s="18">
        <f>IF(U19=1,ROUND(MAX(0,Assumptions!$B$9*R19-J19),0),0)</f>
        <v>79</v>
      </c>
      <c r="X19" s="44" t="str">
        <f t="shared" si="4"/>
        <v>Reorder - recover lost sales</v>
      </c>
    </row>
    <row r="20" spans="1:24" x14ac:dyDescent="0.35">
      <c r="A20" s="43" t="s">
        <v>112</v>
      </c>
      <c r="B20" s="22" t="s">
        <v>66</v>
      </c>
      <c r="C20" s="40" t="str">
        <f>INDEX(Dim_Product!$B:B, MATCH($A20,Dim_Product!$A:$A,0))</f>
        <v>Fine-Knit Cardigan</v>
      </c>
      <c r="D20" s="40" t="str">
        <f>INDEX(Dim_Product!$D:D, MATCH($A20,Dim_Product!$A:$A,0))</f>
        <v>Knitwear</v>
      </c>
      <c r="E20" s="40" t="str">
        <f>INDEX(Dim_Product!$E:E, MATCH($A20,Dim_Product!$A:$A,0))</f>
        <v>Navy</v>
      </c>
      <c r="F20" s="40" t="str">
        <f>INDEX(Dim_Product!$F:F, MATCH($A20,Dim_Product!$A:$A,0))</f>
        <v>Core</v>
      </c>
      <c r="G20" s="41">
        <f>INDEX(Dim_Product!$G:G, MATCH($A20,Dim_Product!$A:$A,0))</f>
        <v>39.99</v>
      </c>
      <c r="H20" s="18">
        <f>SUMIFS(Fact_Weekly!$D$2:$D$1500,Fact_Weekly!$B$2:$B$1500,$A20,Fact_Weekly!$C$2:$C$1500,$B20)</f>
        <v>82</v>
      </c>
      <c r="I20" s="18">
        <f>SUMIFS(Fact_Weekly!$E$2:$E$1500,Fact_Weekly!$B$2:$B$1500,$A20,Fact_Weekly!$C$2:$C$1500,$B20)</f>
        <v>82</v>
      </c>
      <c r="J20" s="18">
        <f t="shared" si="0"/>
        <v>0</v>
      </c>
      <c r="K20" s="19">
        <f t="shared" si="1"/>
        <v>1</v>
      </c>
      <c r="L20" s="18">
        <f>SUMIFS(Fact_Weekly!$E$2:$E$1500,Fact_Weekly!$B$2:$B$1500,$A20,Fact_Weekly!$C$2:$C$1500,$B20,Fact_Weekly!$A$2:$A$1500,"&gt;="&amp;(Assumptions!$B$12-Assumptions!$B$11+1))</f>
        <v>20</v>
      </c>
      <c r="M20" s="42">
        <f>L20/Assumptions!$B$11</f>
        <v>5</v>
      </c>
      <c r="N20" s="18">
        <f>COUNTIFS(Fact_Weekly!$B$2:$B$1500,$A20,Fact_Weekly!$C$2:$C$1500,$B20,Fact_Weekly!$G$2:$G$1500,"&gt;0")</f>
        <v>10</v>
      </c>
      <c r="O20" s="42">
        <f t="shared" si="2"/>
        <v>8.1999999999999993</v>
      </c>
      <c r="P20" s="42">
        <f>IF(M20&gt;0,J20/M20,IF(J20&gt;0,Assumptions!$B$12,0))</f>
        <v>0</v>
      </c>
      <c r="Q20" s="21">
        <f>IF(AND(N20&lt;Assumptions!$B$12,K20&gt;=0.99),1,0)</f>
        <v>1</v>
      </c>
      <c r="R20" s="42">
        <f t="shared" si="3"/>
        <v>8.1999999999999993</v>
      </c>
      <c r="S20" s="42">
        <f>IF(Q20=1,(Assumptions!$B$12-N20)*(H20/Assumptions!$B$12),0)</f>
        <v>13.666666666666666</v>
      </c>
      <c r="T20" s="20">
        <f>S20*G20</f>
        <v>546.53</v>
      </c>
      <c r="U20" s="21">
        <f>IF(OR(K20&gt;=Assumptions!$B$5,Q20=1,AND(F20="Core",P20&lt;Assumptions!$B$7)),1,0)</f>
        <v>1</v>
      </c>
      <c r="V20" s="21">
        <f>IF(AND(F20="Seasonal",K20&lt;Assumptions!$B$6,P20&gt;Assumptions!$B$8),1,0)</f>
        <v>0</v>
      </c>
      <c r="W20" s="18">
        <f>IF(U20=1,ROUND(MAX(0,Assumptions!$B$9*R20-J20),0),0)</f>
        <v>49</v>
      </c>
      <c r="X20" s="44" t="str">
        <f t="shared" si="4"/>
        <v>Reorder - recover lost sales</v>
      </c>
    </row>
    <row r="21" spans="1:24" x14ac:dyDescent="0.35">
      <c r="A21" s="43" t="s">
        <v>112</v>
      </c>
      <c r="B21" s="22" t="s">
        <v>68</v>
      </c>
      <c r="C21" s="40" t="str">
        <f>INDEX(Dim_Product!$B:B, MATCH($A21,Dim_Product!$A:$A,0))</f>
        <v>Fine-Knit Cardigan</v>
      </c>
      <c r="D21" s="40" t="str">
        <f>INDEX(Dim_Product!$D:D, MATCH($A21,Dim_Product!$A:$A,0))</f>
        <v>Knitwear</v>
      </c>
      <c r="E21" s="40" t="str">
        <f>INDEX(Dim_Product!$E:E, MATCH($A21,Dim_Product!$A:$A,0))</f>
        <v>Navy</v>
      </c>
      <c r="F21" s="40" t="str">
        <f>INDEX(Dim_Product!$F:F, MATCH($A21,Dim_Product!$A:$A,0))</f>
        <v>Core</v>
      </c>
      <c r="G21" s="41">
        <f>INDEX(Dim_Product!$G:G, MATCH($A21,Dim_Product!$A:$A,0))</f>
        <v>39.99</v>
      </c>
      <c r="H21" s="18">
        <f>SUMIFS(Fact_Weekly!$D$2:$D$1500,Fact_Weekly!$B$2:$B$1500,$A21,Fact_Weekly!$C$2:$C$1500,$B21)</f>
        <v>127</v>
      </c>
      <c r="I21" s="18">
        <f>SUMIFS(Fact_Weekly!$E$2:$E$1500,Fact_Weekly!$B$2:$B$1500,$A21,Fact_Weekly!$C$2:$C$1500,$B21)</f>
        <v>114</v>
      </c>
      <c r="J21" s="18">
        <f t="shared" si="0"/>
        <v>13</v>
      </c>
      <c r="K21" s="19">
        <f t="shared" si="1"/>
        <v>0.89763779527559051</v>
      </c>
      <c r="L21" s="18">
        <f>SUMIFS(Fact_Weekly!$E$2:$E$1500,Fact_Weekly!$B$2:$B$1500,$A21,Fact_Weekly!$C$2:$C$1500,$B21,Fact_Weekly!$A$2:$A$1500,"&gt;="&amp;(Assumptions!$B$12-Assumptions!$B$11+1))</f>
        <v>39</v>
      </c>
      <c r="M21" s="42">
        <f>L21/Assumptions!$B$11</f>
        <v>9.75</v>
      </c>
      <c r="N21" s="18">
        <f>COUNTIFS(Fact_Weekly!$B$2:$B$1500,$A21,Fact_Weekly!$C$2:$C$1500,$B21,Fact_Weekly!$G$2:$G$1500,"&gt;0")</f>
        <v>12</v>
      </c>
      <c r="O21" s="42">
        <f t="shared" si="2"/>
        <v>9.5</v>
      </c>
      <c r="P21" s="42">
        <f>IF(M21&gt;0,J21/M21,IF(J21&gt;0,Assumptions!$B$12,0))</f>
        <v>1.3333333333333333</v>
      </c>
      <c r="Q21" s="21">
        <f>IF(AND(N21&lt;Assumptions!$B$12,K21&gt;=0.99),1,0)</f>
        <v>0</v>
      </c>
      <c r="R21" s="42">
        <f t="shared" si="3"/>
        <v>9.75</v>
      </c>
      <c r="S21" s="42">
        <f>IF(Q21=1,(Assumptions!$B$12-N21)*(H21/Assumptions!$B$12),0)</f>
        <v>0</v>
      </c>
      <c r="T21" s="20">
        <f>S21*G21</f>
        <v>0</v>
      </c>
      <c r="U21" s="21">
        <f>IF(OR(K21&gt;=Assumptions!$B$5,Q21=1,AND(F21="Core",P21&lt;Assumptions!$B$7)),1,0)</f>
        <v>1</v>
      </c>
      <c r="V21" s="21">
        <f>IF(AND(F21="Seasonal",K21&lt;Assumptions!$B$6,P21&gt;Assumptions!$B$8),1,0)</f>
        <v>0</v>
      </c>
      <c r="W21" s="18">
        <f>IF(U21=1,ROUND(MAX(0,Assumptions!$B$9*R21-J21),0),0)</f>
        <v>46</v>
      </c>
      <c r="X21" s="44" t="str">
        <f t="shared" si="4"/>
        <v>Reorder / replenish</v>
      </c>
    </row>
    <row r="22" spans="1:24" x14ac:dyDescent="0.35">
      <c r="A22" s="43" t="s">
        <v>114</v>
      </c>
      <c r="B22" s="22" t="s">
        <v>62</v>
      </c>
      <c r="C22" s="40" t="str">
        <f>INDEX(Dim_Product!$B:B, MATCH($A22,Dim_Product!$A:$A,0))</f>
        <v>Fine-Knit Cardigan</v>
      </c>
      <c r="D22" s="40" t="str">
        <f>INDEX(Dim_Product!$D:D, MATCH($A22,Dim_Product!$A:$A,0))</f>
        <v>Knitwear</v>
      </c>
      <c r="E22" s="40" t="str">
        <f>INDEX(Dim_Product!$E:E, MATCH($A22,Dim_Product!$A:$A,0))</f>
        <v>Grey</v>
      </c>
      <c r="F22" s="40" t="str">
        <f>INDEX(Dim_Product!$F:F, MATCH($A22,Dim_Product!$A:$A,0))</f>
        <v>Core</v>
      </c>
      <c r="G22" s="41">
        <f>INDEX(Dim_Product!$G:G, MATCH($A22,Dim_Product!$A:$A,0))</f>
        <v>39.99</v>
      </c>
      <c r="H22" s="18">
        <f>SUMIFS(Fact_Weekly!$D$2:$D$1500,Fact_Weekly!$B$2:$B$1500,$A22,Fact_Weekly!$C$2:$C$1500,$B22)</f>
        <v>112</v>
      </c>
      <c r="I22" s="18">
        <f>SUMIFS(Fact_Weekly!$E$2:$E$1500,Fact_Weekly!$B$2:$B$1500,$A22,Fact_Weekly!$C$2:$C$1500,$B22)</f>
        <v>85</v>
      </c>
      <c r="J22" s="18">
        <f t="shared" si="0"/>
        <v>27</v>
      </c>
      <c r="K22" s="19">
        <f t="shared" si="1"/>
        <v>0.7589285714285714</v>
      </c>
      <c r="L22" s="18">
        <f>SUMIFS(Fact_Weekly!$E$2:$E$1500,Fact_Weekly!$B$2:$B$1500,$A22,Fact_Weekly!$C$2:$C$1500,$B22,Fact_Weekly!$A$2:$A$1500,"&gt;="&amp;(Assumptions!$B$12-Assumptions!$B$11+1))</f>
        <v>33</v>
      </c>
      <c r="M22" s="42">
        <f>L22/Assumptions!$B$11</f>
        <v>8.25</v>
      </c>
      <c r="N22" s="18">
        <f>COUNTIFS(Fact_Weekly!$B$2:$B$1500,$A22,Fact_Weekly!$C$2:$C$1500,$B22,Fact_Weekly!$G$2:$G$1500,"&gt;0")</f>
        <v>12</v>
      </c>
      <c r="O22" s="42">
        <f t="shared" si="2"/>
        <v>7.083333333333333</v>
      </c>
      <c r="P22" s="42">
        <f>IF(M22&gt;0,J22/M22,IF(J22&gt;0,Assumptions!$B$12,0))</f>
        <v>3.2727272727272729</v>
      </c>
      <c r="Q22" s="21">
        <f>IF(AND(N22&lt;Assumptions!$B$12,K22&gt;=0.99),1,0)</f>
        <v>0</v>
      </c>
      <c r="R22" s="42">
        <f t="shared" si="3"/>
        <v>8.25</v>
      </c>
      <c r="S22" s="42">
        <f>IF(Q22=1,(Assumptions!$B$12-N22)*(H22/Assumptions!$B$12),0)</f>
        <v>0</v>
      </c>
      <c r="T22" s="20">
        <f>S22*G22</f>
        <v>0</v>
      </c>
      <c r="U22" s="21">
        <f>IF(OR(K22&gt;=Assumptions!$B$5,Q22=1,AND(F22="Core",P22&lt;Assumptions!$B$7)),1,0)</f>
        <v>0</v>
      </c>
      <c r="V22" s="21">
        <f>IF(AND(F22="Seasonal",K22&lt;Assumptions!$B$6,P22&gt;Assumptions!$B$8),1,0)</f>
        <v>0</v>
      </c>
      <c r="W22" s="18">
        <f>IF(U22=1,ROUND(MAX(0,Assumptions!$B$9*R22-J22),0),0)</f>
        <v>0</v>
      </c>
      <c r="X22" s="44" t="str">
        <f t="shared" si="4"/>
        <v>Maintain / monitor</v>
      </c>
    </row>
    <row r="23" spans="1:24" x14ac:dyDescent="0.35">
      <c r="A23" s="43" t="s">
        <v>114</v>
      </c>
      <c r="B23" s="22" t="s">
        <v>64</v>
      </c>
      <c r="C23" s="40" t="str">
        <f>INDEX(Dim_Product!$B:B, MATCH($A23,Dim_Product!$A:$A,0))</f>
        <v>Fine-Knit Cardigan</v>
      </c>
      <c r="D23" s="40" t="str">
        <f>INDEX(Dim_Product!$D:D, MATCH($A23,Dim_Product!$A:$A,0))</f>
        <v>Knitwear</v>
      </c>
      <c r="E23" s="40" t="str">
        <f>INDEX(Dim_Product!$E:E, MATCH($A23,Dim_Product!$A:$A,0))</f>
        <v>Grey</v>
      </c>
      <c r="F23" s="40" t="str">
        <f>INDEX(Dim_Product!$F:F, MATCH($A23,Dim_Product!$A:$A,0))</f>
        <v>Core</v>
      </c>
      <c r="G23" s="41">
        <f>INDEX(Dim_Product!$G:G, MATCH($A23,Dim_Product!$A:$A,0))</f>
        <v>39.99</v>
      </c>
      <c r="H23" s="18">
        <f>SUMIFS(Fact_Weekly!$D$2:$D$1500,Fact_Weekly!$B$2:$B$1500,$A23,Fact_Weekly!$C$2:$C$1500,$B23)</f>
        <v>140</v>
      </c>
      <c r="I23" s="18">
        <f>SUMIFS(Fact_Weekly!$E$2:$E$1500,Fact_Weekly!$B$2:$B$1500,$A23,Fact_Weekly!$C$2:$C$1500,$B23)</f>
        <v>122</v>
      </c>
      <c r="J23" s="18">
        <f t="shared" si="0"/>
        <v>18</v>
      </c>
      <c r="K23" s="19">
        <f t="shared" si="1"/>
        <v>0.87142857142857144</v>
      </c>
      <c r="L23" s="18">
        <f>SUMIFS(Fact_Weekly!$E$2:$E$1500,Fact_Weekly!$B$2:$B$1500,$A23,Fact_Weekly!$C$2:$C$1500,$B23,Fact_Weekly!$A$2:$A$1500,"&gt;="&amp;(Assumptions!$B$12-Assumptions!$B$11+1))</f>
        <v>37</v>
      </c>
      <c r="M23" s="42">
        <f>L23/Assumptions!$B$11</f>
        <v>9.25</v>
      </c>
      <c r="N23" s="18">
        <f>COUNTIFS(Fact_Weekly!$B$2:$B$1500,$A23,Fact_Weekly!$C$2:$C$1500,$B23,Fact_Weekly!$G$2:$G$1500,"&gt;0")</f>
        <v>12</v>
      </c>
      <c r="O23" s="42">
        <f t="shared" si="2"/>
        <v>10.166666666666666</v>
      </c>
      <c r="P23" s="42">
        <f>IF(M23&gt;0,J23/M23,IF(J23&gt;0,Assumptions!$B$12,0))</f>
        <v>1.9459459459459461</v>
      </c>
      <c r="Q23" s="21">
        <f>IF(AND(N23&lt;Assumptions!$B$12,K23&gt;=0.99),1,0)</f>
        <v>0</v>
      </c>
      <c r="R23" s="42">
        <f t="shared" si="3"/>
        <v>9.25</v>
      </c>
      <c r="S23" s="42">
        <f>IF(Q23=1,(Assumptions!$B$12-N23)*(H23/Assumptions!$B$12),0)</f>
        <v>0</v>
      </c>
      <c r="T23" s="20">
        <f>S23*G23</f>
        <v>0</v>
      </c>
      <c r="U23" s="21">
        <f>IF(OR(K23&gt;=Assumptions!$B$5,Q23=1,AND(F23="Core",P23&lt;Assumptions!$B$7)),1,0)</f>
        <v>1</v>
      </c>
      <c r="V23" s="21">
        <f>IF(AND(F23="Seasonal",K23&lt;Assumptions!$B$6,P23&gt;Assumptions!$B$8),1,0)</f>
        <v>0</v>
      </c>
      <c r="W23" s="18">
        <f>IF(U23=1,ROUND(MAX(0,Assumptions!$B$9*R23-J23),0),0)</f>
        <v>38</v>
      </c>
      <c r="X23" s="44" t="str">
        <f t="shared" si="4"/>
        <v>Reorder / replenish</v>
      </c>
    </row>
    <row r="24" spans="1:24" x14ac:dyDescent="0.35">
      <c r="A24" s="43" t="s">
        <v>114</v>
      </c>
      <c r="B24" s="22" t="s">
        <v>66</v>
      </c>
      <c r="C24" s="40" t="str">
        <f>INDEX(Dim_Product!$B:B, MATCH($A24,Dim_Product!$A:$A,0))</f>
        <v>Fine-Knit Cardigan</v>
      </c>
      <c r="D24" s="40" t="str">
        <f>INDEX(Dim_Product!$D:D, MATCH($A24,Dim_Product!$A:$A,0))</f>
        <v>Knitwear</v>
      </c>
      <c r="E24" s="40" t="str">
        <f>INDEX(Dim_Product!$E:E, MATCH($A24,Dim_Product!$A:$A,0))</f>
        <v>Grey</v>
      </c>
      <c r="F24" s="40" t="str">
        <f>INDEX(Dim_Product!$F:F, MATCH($A24,Dim_Product!$A:$A,0))</f>
        <v>Core</v>
      </c>
      <c r="G24" s="41">
        <f>INDEX(Dim_Product!$G:G, MATCH($A24,Dim_Product!$A:$A,0))</f>
        <v>39.99</v>
      </c>
      <c r="H24" s="18">
        <f>SUMIFS(Fact_Weekly!$D$2:$D$1500,Fact_Weekly!$B$2:$B$1500,$A24,Fact_Weekly!$C$2:$C$1500,$B24)</f>
        <v>94</v>
      </c>
      <c r="I24" s="18">
        <f>SUMIFS(Fact_Weekly!$E$2:$E$1500,Fact_Weekly!$B$2:$B$1500,$A24,Fact_Weekly!$C$2:$C$1500,$B24)</f>
        <v>89</v>
      </c>
      <c r="J24" s="18">
        <f t="shared" si="0"/>
        <v>5</v>
      </c>
      <c r="K24" s="19">
        <f t="shared" si="1"/>
        <v>0.94680851063829785</v>
      </c>
      <c r="L24" s="18">
        <f>SUMIFS(Fact_Weekly!$E$2:$E$1500,Fact_Weekly!$B$2:$B$1500,$A24,Fact_Weekly!$C$2:$C$1500,$B24,Fact_Weekly!$A$2:$A$1500,"&gt;="&amp;(Assumptions!$B$12-Assumptions!$B$11+1))</f>
        <v>28</v>
      </c>
      <c r="M24" s="42">
        <f>L24/Assumptions!$B$11</f>
        <v>7</v>
      </c>
      <c r="N24" s="18">
        <f>COUNTIFS(Fact_Weekly!$B$2:$B$1500,$A24,Fact_Weekly!$C$2:$C$1500,$B24,Fact_Weekly!$G$2:$G$1500,"&gt;0")</f>
        <v>12</v>
      </c>
      <c r="O24" s="42">
        <f t="shared" si="2"/>
        <v>7.416666666666667</v>
      </c>
      <c r="P24" s="42">
        <f>IF(M24&gt;0,J24/M24,IF(J24&gt;0,Assumptions!$B$12,0))</f>
        <v>0.7142857142857143</v>
      </c>
      <c r="Q24" s="21">
        <f>IF(AND(N24&lt;Assumptions!$B$12,K24&gt;=0.99),1,0)</f>
        <v>0</v>
      </c>
      <c r="R24" s="42">
        <f t="shared" si="3"/>
        <v>7</v>
      </c>
      <c r="S24" s="42">
        <f>IF(Q24=1,(Assumptions!$B$12-N24)*(H24/Assumptions!$B$12),0)</f>
        <v>0</v>
      </c>
      <c r="T24" s="20">
        <f>S24*G24</f>
        <v>0</v>
      </c>
      <c r="U24" s="21">
        <f>IF(OR(K24&gt;=Assumptions!$B$5,Q24=1,AND(F24="Core",P24&lt;Assumptions!$B$7)),1,0)</f>
        <v>1</v>
      </c>
      <c r="V24" s="21">
        <f>IF(AND(F24="Seasonal",K24&lt;Assumptions!$B$6,P24&gt;Assumptions!$B$8),1,0)</f>
        <v>0</v>
      </c>
      <c r="W24" s="18">
        <f>IF(U24=1,ROUND(MAX(0,Assumptions!$B$9*R24-J24),0),0)</f>
        <v>37</v>
      </c>
      <c r="X24" s="44" t="str">
        <f t="shared" si="4"/>
        <v>Reorder / replenish</v>
      </c>
    </row>
    <row r="25" spans="1:24" x14ac:dyDescent="0.35">
      <c r="A25" s="43" t="s">
        <v>114</v>
      </c>
      <c r="B25" s="22" t="s">
        <v>68</v>
      </c>
      <c r="C25" s="40" t="str">
        <f>INDEX(Dim_Product!$B:B, MATCH($A25,Dim_Product!$A:$A,0))</f>
        <v>Fine-Knit Cardigan</v>
      </c>
      <c r="D25" s="40" t="str">
        <f>INDEX(Dim_Product!$D:D, MATCH($A25,Dim_Product!$A:$A,0))</f>
        <v>Knitwear</v>
      </c>
      <c r="E25" s="40" t="str">
        <f>INDEX(Dim_Product!$E:E, MATCH($A25,Dim_Product!$A:$A,0))</f>
        <v>Grey</v>
      </c>
      <c r="F25" s="40" t="str">
        <f>INDEX(Dim_Product!$F:F, MATCH($A25,Dim_Product!$A:$A,0))</f>
        <v>Core</v>
      </c>
      <c r="G25" s="41">
        <f>INDEX(Dim_Product!$G:G, MATCH($A25,Dim_Product!$A:$A,0))</f>
        <v>39.99</v>
      </c>
      <c r="H25" s="18">
        <f>SUMIFS(Fact_Weekly!$D$2:$D$1500,Fact_Weekly!$B$2:$B$1500,$A25,Fact_Weekly!$C$2:$C$1500,$B25)</f>
        <v>119</v>
      </c>
      <c r="I25" s="18">
        <f>SUMIFS(Fact_Weekly!$E$2:$E$1500,Fact_Weekly!$B$2:$B$1500,$A25,Fact_Weekly!$C$2:$C$1500,$B25)</f>
        <v>106</v>
      </c>
      <c r="J25" s="18">
        <f t="shared" si="0"/>
        <v>13</v>
      </c>
      <c r="K25" s="19">
        <f t="shared" si="1"/>
        <v>0.89075630252100846</v>
      </c>
      <c r="L25" s="18">
        <f>SUMIFS(Fact_Weekly!$E$2:$E$1500,Fact_Weekly!$B$2:$B$1500,$A25,Fact_Weekly!$C$2:$C$1500,$B25,Fact_Weekly!$A$2:$A$1500,"&gt;="&amp;(Assumptions!$B$12-Assumptions!$B$11+1))</f>
        <v>34</v>
      </c>
      <c r="M25" s="42">
        <f>L25/Assumptions!$B$11</f>
        <v>8.5</v>
      </c>
      <c r="N25" s="18">
        <f>COUNTIFS(Fact_Weekly!$B$2:$B$1500,$A25,Fact_Weekly!$C$2:$C$1500,$B25,Fact_Weekly!$G$2:$G$1500,"&gt;0")</f>
        <v>12</v>
      </c>
      <c r="O25" s="42">
        <f t="shared" si="2"/>
        <v>8.8333333333333339</v>
      </c>
      <c r="P25" s="42">
        <f>IF(M25&gt;0,J25/M25,IF(J25&gt;0,Assumptions!$B$12,0))</f>
        <v>1.5294117647058822</v>
      </c>
      <c r="Q25" s="21">
        <f>IF(AND(N25&lt;Assumptions!$B$12,K25&gt;=0.99),1,0)</f>
        <v>0</v>
      </c>
      <c r="R25" s="42">
        <f t="shared" si="3"/>
        <v>8.5</v>
      </c>
      <c r="S25" s="42">
        <f>IF(Q25=1,(Assumptions!$B$12-N25)*(H25/Assumptions!$B$12),0)</f>
        <v>0</v>
      </c>
      <c r="T25" s="20">
        <f>S25*G25</f>
        <v>0</v>
      </c>
      <c r="U25" s="21">
        <f>IF(OR(K25&gt;=Assumptions!$B$5,Q25=1,AND(F25="Core",P25&lt;Assumptions!$B$7)),1,0)</f>
        <v>1</v>
      </c>
      <c r="V25" s="21">
        <f>IF(AND(F25="Seasonal",K25&lt;Assumptions!$B$6,P25&gt;Assumptions!$B$8),1,0)</f>
        <v>0</v>
      </c>
      <c r="W25" s="18">
        <f>IF(U25=1,ROUND(MAX(0,Assumptions!$B$9*R25-J25),0),0)</f>
        <v>38</v>
      </c>
      <c r="X25" s="44" t="str">
        <f t="shared" si="4"/>
        <v>Reorder / replenish</v>
      </c>
    </row>
    <row r="26" spans="1:24" x14ac:dyDescent="0.35">
      <c r="A26" s="43" t="s">
        <v>116</v>
      </c>
      <c r="B26" s="22" t="s">
        <v>62</v>
      </c>
      <c r="C26" s="40" t="str">
        <f>INDEX(Dim_Product!$B:B, MATCH($A26,Dim_Product!$A:$A,0))</f>
        <v>Tailored Cigarette Trouser</v>
      </c>
      <c r="D26" s="40" t="str">
        <f>INDEX(Dim_Product!$D:D, MATCH($A26,Dim_Product!$A:$A,0))</f>
        <v>Trousers</v>
      </c>
      <c r="E26" s="40" t="str">
        <f>INDEX(Dim_Product!$E:E, MATCH($A26,Dim_Product!$A:$A,0))</f>
        <v>Black</v>
      </c>
      <c r="F26" s="40" t="str">
        <f>INDEX(Dim_Product!$F:F, MATCH($A26,Dim_Product!$A:$A,0))</f>
        <v>Core</v>
      </c>
      <c r="G26" s="41">
        <f>INDEX(Dim_Product!$G:G, MATCH($A26,Dim_Product!$A:$A,0))</f>
        <v>44.99</v>
      </c>
      <c r="H26" s="18">
        <f>SUMIFS(Fact_Weekly!$D$2:$D$1500,Fact_Weekly!$B$2:$B$1500,$A26,Fact_Weekly!$C$2:$C$1500,$B26)</f>
        <v>111</v>
      </c>
      <c r="I26" s="18">
        <f>SUMIFS(Fact_Weekly!$E$2:$E$1500,Fact_Weekly!$B$2:$B$1500,$A26,Fact_Weekly!$C$2:$C$1500,$B26)</f>
        <v>108</v>
      </c>
      <c r="J26" s="18">
        <f t="shared" si="0"/>
        <v>3</v>
      </c>
      <c r="K26" s="19">
        <f t="shared" si="1"/>
        <v>0.97297297297297303</v>
      </c>
      <c r="L26" s="18">
        <f>SUMIFS(Fact_Weekly!$E$2:$E$1500,Fact_Weekly!$B$2:$B$1500,$A26,Fact_Weekly!$C$2:$C$1500,$B26,Fact_Weekly!$A$2:$A$1500,"&gt;="&amp;(Assumptions!$B$12-Assumptions!$B$11+1))</f>
        <v>35</v>
      </c>
      <c r="M26" s="42">
        <f>L26/Assumptions!$B$11</f>
        <v>8.75</v>
      </c>
      <c r="N26" s="18">
        <f>COUNTIFS(Fact_Weekly!$B$2:$B$1500,$A26,Fact_Weekly!$C$2:$C$1500,$B26,Fact_Weekly!$G$2:$G$1500,"&gt;0")</f>
        <v>12</v>
      </c>
      <c r="O26" s="42">
        <f t="shared" si="2"/>
        <v>9</v>
      </c>
      <c r="P26" s="42">
        <f>IF(M26&gt;0,J26/M26,IF(J26&gt;0,Assumptions!$B$12,0))</f>
        <v>0.34285714285714286</v>
      </c>
      <c r="Q26" s="21">
        <f>IF(AND(N26&lt;Assumptions!$B$12,K26&gt;=0.99),1,0)</f>
        <v>0</v>
      </c>
      <c r="R26" s="42">
        <f t="shared" si="3"/>
        <v>8.75</v>
      </c>
      <c r="S26" s="42">
        <f>IF(Q26=1,(Assumptions!$B$12-N26)*(H26/Assumptions!$B$12),0)</f>
        <v>0</v>
      </c>
      <c r="T26" s="20">
        <f>S26*G26</f>
        <v>0</v>
      </c>
      <c r="U26" s="21">
        <f>IF(OR(K26&gt;=Assumptions!$B$5,Q26=1,AND(F26="Core",P26&lt;Assumptions!$B$7)),1,0)</f>
        <v>1</v>
      </c>
      <c r="V26" s="21">
        <f>IF(AND(F26="Seasonal",K26&lt;Assumptions!$B$6,P26&gt;Assumptions!$B$8),1,0)</f>
        <v>0</v>
      </c>
      <c r="W26" s="18">
        <f>IF(U26=1,ROUND(MAX(0,Assumptions!$B$9*R26-J26),0),0)</f>
        <v>50</v>
      </c>
      <c r="X26" s="44" t="str">
        <f t="shared" si="4"/>
        <v>Reorder / replenish</v>
      </c>
    </row>
    <row r="27" spans="1:24" x14ac:dyDescent="0.35">
      <c r="A27" s="43" t="s">
        <v>116</v>
      </c>
      <c r="B27" s="22" t="s">
        <v>64</v>
      </c>
      <c r="C27" s="40" t="str">
        <f>INDEX(Dim_Product!$B:B, MATCH($A27,Dim_Product!$A:$A,0))</f>
        <v>Tailored Cigarette Trouser</v>
      </c>
      <c r="D27" s="40" t="str">
        <f>INDEX(Dim_Product!$D:D, MATCH($A27,Dim_Product!$A:$A,0))</f>
        <v>Trousers</v>
      </c>
      <c r="E27" s="40" t="str">
        <f>INDEX(Dim_Product!$E:E, MATCH($A27,Dim_Product!$A:$A,0))</f>
        <v>Black</v>
      </c>
      <c r="F27" s="40" t="str">
        <f>INDEX(Dim_Product!$F:F, MATCH($A27,Dim_Product!$A:$A,0))</f>
        <v>Core</v>
      </c>
      <c r="G27" s="41">
        <f>INDEX(Dim_Product!$G:G, MATCH($A27,Dim_Product!$A:$A,0))</f>
        <v>44.99</v>
      </c>
      <c r="H27" s="18">
        <f>SUMIFS(Fact_Weekly!$D$2:$D$1500,Fact_Weekly!$B$2:$B$1500,$A27,Fact_Weekly!$C$2:$C$1500,$B27)</f>
        <v>151</v>
      </c>
      <c r="I27" s="18">
        <f>SUMIFS(Fact_Weekly!$E$2:$E$1500,Fact_Weekly!$B$2:$B$1500,$A27,Fact_Weekly!$C$2:$C$1500,$B27)</f>
        <v>139</v>
      </c>
      <c r="J27" s="18">
        <f t="shared" si="0"/>
        <v>12</v>
      </c>
      <c r="K27" s="19">
        <f t="shared" si="1"/>
        <v>0.92052980132450335</v>
      </c>
      <c r="L27" s="18">
        <f>SUMIFS(Fact_Weekly!$E$2:$E$1500,Fact_Weekly!$B$2:$B$1500,$A27,Fact_Weekly!$C$2:$C$1500,$B27,Fact_Weekly!$A$2:$A$1500,"&gt;="&amp;(Assumptions!$B$12-Assumptions!$B$11+1))</f>
        <v>51</v>
      </c>
      <c r="M27" s="42">
        <f>L27/Assumptions!$B$11</f>
        <v>12.75</v>
      </c>
      <c r="N27" s="18">
        <f>COUNTIFS(Fact_Weekly!$B$2:$B$1500,$A27,Fact_Weekly!$C$2:$C$1500,$B27,Fact_Weekly!$G$2:$G$1500,"&gt;0")</f>
        <v>12</v>
      </c>
      <c r="O27" s="42">
        <f t="shared" si="2"/>
        <v>11.583333333333334</v>
      </c>
      <c r="P27" s="42">
        <f>IF(M27&gt;0,J27/M27,IF(J27&gt;0,Assumptions!$B$12,0))</f>
        <v>0.94117647058823528</v>
      </c>
      <c r="Q27" s="21">
        <f>IF(AND(N27&lt;Assumptions!$B$12,K27&gt;=0.99),1,0)</f>
        <v>0</v>
      </c>
      <c r="R27" s="42">
        <f t="shared" si="3"/>
        <v>12.75</v>
      </c>
      <c r="S27" s="42">
        <f>IF(Q27=1,(Assumptions!$B$12-N27)*(H27/Assumptions!$B$12),0)</f>
        <v>0</v>
      </c>
      <c r="T27" s="20">
        <f>S27*G27</f>
        <v>0</v>
      </c>
      <c r="U27" s="21">
        <f>IF(OR(K27&gt;=Assumptions!$B$5,Q27=1,AND(F27="Core",P27&lt;Assumptions!$B$7)),1,0)</f>
        <v>1</v>
      </c>
      <c r="V27" s="21">
        <f>IF(AND(F27="Seasonal",K27&lt;Assumptions!$B$6,P27&gt;Assumptions!$B$8),1,0)</f>
        <v>0</v>
      </c>
      <c r="W27" s="18">
        <f>IF(U27=1,ROUND(MAX(0,Assumptions!$B$9*R27-J27),0),0)</f>
        <v>65</v>
      </c>
      <c r="X27" s="44" t="str">
        <f t="shared" si="4"/>
        <v>Reorder / replenish</v>
      </c>
    </row>
    <row r="28" spans="1:24" x14ac:dyDescent="0.35">
      <c r="A28" s="43" t="s">
        <v>116</v>
      </c>
      <c r="B28" s="22" t="s">
        <v>66</v>
      </c>
      <c r="C28" s="40" t="str">
        <f>INDEX(Dim_Product!$B:B, MATCH($A28,Dim_Product!$A:$A,0))</f>
        <v>Tailored Cigarette Trouser</v>
      </c>
      <c r="D28" s="40" t="str">
        <f>INDEX(Dim_Product!$D:D, MATCH($A28,Dim_Product!$A:$A,0))</f>
        <v>Trousers</v>
      </c>
      <c r="E28" s="40" t="str">
        <f>INDEX(Dim_Product!$E:E, MATCH($A28,Dim_Product!$A:$A,0))</f>
        <v>Black</v>
      </c>
      <c r="F28" s="40" t="str">
        <f>INDEX(Dim_Product!$F:F, MATCH($A28,Dim_Product!$A:$A,0))</f>
        <v>Core</v>
      </c>
      <c r="G28" s="41">
        <f>INDEX(Dim_Product!$G:G, MATCH($A28,Dim_Product!$A:$A,0))</f>
        <v>44.99</v>
      </c>
      <c r="H28" s="18">
        <f>SUMIFS(Fact_Weekly!$D$2:$D$1500,Fact_Weekly!$B$2:$B$1500,$A28,Fact_Weekly!$C$2:$C$1500,$B28)</f>
        <v>92</v>
      </c>
      <c r="I28" s="18">
        <f>SUMIFS(Fact_Weekly!$E$2:$E$1500,Fact_Weekly!$B$2:$B$1500,$A28,Fact_Weekly!$C$2:$C$1500,$B28)</f>
        <v>87</v>
      </c>
      <c r="J28" s="18">
        <f t="shared" si="0"/>
        <v>5</v>
      </c>
      <c r="K28" s="19">
        <f t="shared" si="1"/>
        <v>0.94565217391304346</v>
      </c>
      <c r="L28" s="18">
        <f>SUMIFS(Fact_Weekly!$E$2:$E$1500,Fact_Weekly!$B$2:$B$1500,$A28,Fact_Weekly!$C$2:$C$1500,$B28,Fact_Weekly!$A$2:$A$1500,"&gt;="&amp;(Assumptions!$B$12-Assumptions!$B$11+1))</f>
        <v>29</v>
      </c>
      <c r="M28" s="42">
        <f>L28/Assumptions!$B$11</f>
        <v>7.25</v>
      </c>
      <c r="N28" s="18">
        <f>COUNTIFS(Fact_Weekly!$B$2:$B$1500,$A28,Fact_Weekly!$C$2:$C$1500,$B28,Fact_Weekly!$G$2:$G$1500,"&gt;0")</f>
        <v>12</v>
      </c>
      <c r="O28" s="42">
        <f t="shared" si="2"/>
        <v>7.25</v>
      </c>
      <c r="P28" s="42">
        <f>IF(M28&gt;0,J28/M28,IF(J28&gt;0,Assumptions!$B$12,0))</f>
        <v>0.68965517241379315</v>
      </c>
      <c r="Q28" s="21">
        <f>IF(AND(N28&lt;Assumptions!$B$12,K28&gt;=0.99),1,0)</f>
        <v>0</v>
      </c>
      <c r="R28" s="42">
        <f t="shared" si="3"/>
        <v>7.25</v>
      </c>
      <c r="S28" s="42">
        <f>IF(Q28=1,(Assumptions!$B$12-N28)*(H28/Assumptions!$B$12),0)</f>
        <v>0</v>
      </c>
      <c r="T28" s="20">
        <f>S28*G28</f>
        <v>0</v>
      </c>
      <c r="U28" s="21">
        <f>IF(OR(K28&gt;=Assumptions!$B$5,Q28=1,AND(F28="Core",P28&lt;Assumptions!$B$7)),1,0)</f>
        <v>1</v>
      </c>
      <c r="V28" s="21">
        <f>IF(AND(F28="Seasonal",K28&lt;Assumptions!$B$6,P28&gt;Assumptions!$B$8),1,0)</f>
        <v>0</v>
      </c>
      <c r="W28" s="18">
        <f>IF(U28=1,ROUND(MAX(0,Assumptions!$B$9*R28-J28),0),0)</f>
        <v>39</v>
      </c>
      <c r="X28" s="44" t="str">
        <f t="shared" si="4"/>
        <v>Reorder / replenish</v>
      </c>
    </row>
    <row r="29" spans="1:24" x14ac:dyDescent="0.35">
      <c r="A29" s="43" t="s">
        <v>116</v>
      </c>
      <c r="B29" s="22" t="s">
        <v>68</v>
      </c>
      <c r="C29" s="40" t="str">
        <f>INDEX(Dim_Product!$B:B, MATCH($A29,Dim_Product!$A:$A,0))</f>
        <v>Tailored Cigarette Trouser</v>
      </c>
      <c r="D29" s="40" t="str">
        <f>INDEX(Dim_Product!$D:D, MATCH($A29,Dim_Product!$A:$A,0))</f>
        <v>Trousers</v>
      </c>
      <c r="E29" s="40" t="str">
        <f>INDEX(Dim_Product!$E:E, MATCH($A29,Dim_Product!$A:$A,0))</f>
        <v>Black</v>
      </c>
      <c r="F29" s="40" t="str">
        <f>INDEX(Dim_Product!$F:F, MATCH($A29,Dim_Product!$A:$A,0))</f>
        <v>Core</v>
      </c>
      <c r="G29" s="41">
        <f>INDEX(Dim_Product!$G:G, MATCH($A29,Dim_Product!$A:$A,0))</f>
        <v>44.99</v>
      </c>
      <c r="H29" s="18">
        <f>SUMIFS(Fact_Weekly!$D$2:$D$1500,Fact_Weekly!$B$2:$B$1500,$A29,Fact_Weekly!$C$2:$C$1500,$B29)</f>
        <v>129</v>
      </c>
      <c r="I29" s="18">
        <f>SUMIFS(Fact_Weekly!$E$2:$E$1500,Fact_Weekly!$B$2:$B$1500,$A29,Fact_Weekly!$C$2:$C$1500,$B29)</f>
        <v>116</v>
      </c>
      <c r="J29" s="18">
        <f t="shared" si="0"/>
        <v>13</v>
      </c>
      <c r="K29" s="19">
        <f t="shared" si="1"/>
        <v>0.89922480620155043</v>
      </c>
      <c r="L29" s="18">
        <f>SUMIFS(Fact_Weekly!$E$2:$E$1500,Fact_Weekly!$B$2:$B$1500,$A29,Fact_Weekly!$C$2:$C$1500,$B29,Fact_Weekly!$A$2:$A$1500,"&gt;="&amp;(Assumptions!$B$12-Assumptions!$B$11+1))</f>
        <v>40</v>
      </c>
      <c r="M29" s="42">
        <f>L29/Assumptions!$B$11</f>
        <v>10</v>
      </c>
      <c r="N29" s="18">
        <f>COUNTIFS(Fact_Weekly!$B$2:$B$1500,$A29,Fact_Weekly!$C$2:$C$1500,$B29,Fact_Weekly!$G$2:$G$1500,"&gt;0")</f>
        <v>12</v>
      </c>
      <c r="O29" s="42">
        <f t="shared" si="2"/>
        <v>9.6666666666666661</v>
      </c>
      <c r="P29" s="42">
        <f>IF(M29&gt;0,J29/M29,IF(J29&gt;0,Assumptions!$B$12,0))</f>
        <v>1.3</v>
      </c>
      <c r="Q29" s="21">
        <f>IF(AND(N29&lt;Assumptions!$B$12,K29&gt;=0.99),1,0)</f>
        <v>0</v>
      </c>
      <c r="R29" s="42">
        <f t="shared" si="3"/>
        <v>10</v>
      </c>
      <c r="S29" s="42">
        <f>IF(Q29=1,(Assumptions!$B$12-N29)*(H29/Assumptions!$B$12),0)</f>
        <v>0</v>
      </c>
      <c r="T29" s="20">
        <f>S29*G29</f>
        <v>0</v>
      </c>
      <c r="U29" s="21">
        <f>IF(OR(K29&gt;=Assumptions!$B$5,Q29=1,AND(F29="Core",P29&lt;Assumptions!$B$7)),1,0)</f>
        <v>1</v>
      </c>
      <c r="V29" s="21">
        <f>IF(AND(F29="Seasonal",K29&lt;Assumptions!$B$6,P29&gt;Assumptions!$B$8),1,0)</f>
        <v>0</v>
      </c>
      <c r="W29" s="18">
        <f>IF(U29=1,ROUND(MAX(0,Assumptions!$B$9*R29-J29),0),0)</f>
        <v>47</v>
      </c>
      <c r="X29" s="44" t="str">
        <f t="shared" si="4"/>
        <v>Reorder / replenish</v>
      </c>
    </row>
    <row r="30" spans="1:24" x14ac:dyDescent="0.35">
      <c r="A30" s="43" t="s">
        <v>119</v>
      </c>
      <c r="B30" s="22" t="s">
        <v>62</v>
      </c>
      <c r="C30" s="40" t="str">
        <f>INDEX(Dim_Product!$B:B, MATCH($A30,Dim_Product!$A:$A,0))</f>
        <v>Tailored Cigarette Trouser</v>
      </c>
      <c r="D30" s="40" t="str">
        <f>INDEX(Dim_Product!$D:D, MATCH($A30,Dim_Product!$A:$A,0))</f>
        <v>Trousers</v>
      </c>
      <c r="E30" s="40" t="str">
        <f>INDEX(Dim_Product!$E:E, MATCH($A30,Dim_Product!$A:$A,0))</f>
        <v>Camel</v>
      </c>
      <c r="F30" s="40" t="str">
        <f>INDEX(Dim_Product!$F:F, MATCH($A30,Dim_Product!$A:$A,0))</f>
        <v>Core</v>
      </c>
      <c r="G30" s="41">
        <f>INDEX(Dim_Product!$G:G, MATCH($A30,Dim_Product!$A:$A,0))</f>
        <v>44.99</v>
      </c>
      <c r="H30" s="18">
        <f>SUMIFS(Fact_Weekly!$D$2:$D$1500,Fact_Weekly!$B$2:$B$1500,$A30,Fact_Weekly!$C$2:$C$1500,$B30)</f>
        <v>143</v>
      </c>
      <c r="I30" s="18">
        <f>SUMIFS(Fact_Weekly!$E$2:$E$1500,Fact_Weekly!$B$2:$B$1500,$A30,Fact_Weekly!$C$2:$C$1500,$B30)</f>
        <v>131</v>
      </c>
      <c r="J30" s="18">
        <f t="shared" si="0"/>
        <v>12</v>
      </c>
      <c r="K30" s="19">
        <f t="shared" si="1"/>
        <v>0.91608391608391604</v>
      </c>
      <c r="L30" s="18">
        <f>SUMIFS(Fact_Weekly!$E$2:$E$1500,Fact_Weekly!$B$2:$B$1500,$A30,Fact_Weekly!$C$2:$C$1500,$B30,Fact_Weekly!$A$2:$A$1500,"&gt;="&amp;(Assumptions!$B$12-Assumptions!$B$11+1))</f>
        <v>50</v>
      </c>
      <c r="M30" s="42">
        <f>L30/Assumptions!$B$11</f>
        <v>12.5</v>
      </c>
      <c r="N30" s="18">
        <f>COUNTIFS(Fact_Weekly!$B$2:$B$1500,$A30,Fact_Weekly!$C$2:$C$1500,$B30,Fact_Weekly!$G$2:$G$1500,"&gt;0")</f>
        <v>12</v>
      </c>
      <c r="O30" s="42">
        <f t="shared" si="2"/>
        <v>10.916666666666666</v>
      </c>
      <c r="P30" s="42">
        <f>IF(M30&gt;0,J30/M30,IF(J30&gt;0,Assumptions!$B$12,0))</f>
        <v>0.96</v>
      </c>
      <c r="Q30" s="21">
        <f>IF(AND(N30&lt;Assumptions!$B$12,K30&gt;=0.99),1,0)</f>
        <v>0</v>
      </c>
      <c r="R30" s="42">
        <f t="shared" si="3"/>
        <v>12.5</v>
      </c>
      <c r="S30" s="42">
        <f>IF(Q30=1,(Assumptions!$B$12-N30)*(H30/Assumptions!$B$12),0)</f>
        <v>0</v>
      </c>
      <c r="T30" s="20">
        <f>S30*G30</f>
        <v>0</v>
      </c>
      <c r="U30" s="21">
        <f>IF(OR(K30&gt;=Assumptions!$B$5,Q30=1,AND(F30="Core",P30&lt;Assumptions!$B$7)),1,0)</f>
        <v>1</v>
      </c>
      <c r="V30" s="21">
        <f>IF(AND(F30="Seasonal",K30&lt;Assumptions!$B$6,P30&gt;Assumptions!$B$8),1,0)</f>
        <v>0</v>
      </c>
      <c r="W30" s="18">
        <f>IF(U30=1,ROUND(MAX(0,Assumptions!$B$9*R30-J30),0),0)</f>
        <v>63</v>
      </c>
      <c r="X30" s="44" t="str">
        <f t="shared" si="4"/>
        <v>Reorder / replenish</v>
      </c>
    </row>
    <row r="31" spans="1:24" x14ac:dyDescent="0.35">
      <c r="A31" s="43" t="s">
        <v>119</v>
      </c>
      <c r="B31" s="22" t="s">
        <v>64</v>
      </c>
      <c r="C31" s="40" t="str">
        <f>INDEX(Dim_Product!$B:B, MATCH($A31,Dim_Product!$A:$A,0))</f>
        <v>Tailored Cigarette Trouser</v>
      </c>
      <c r="D31" s="40" t="str">
        <f>INDEX(Dim_Product!$D:D, MATCH($A31,Dim_Product!$A:$A,0))</f>
        <v>Trousers</v>
      </c>
      <c r="E31" s="40" t="str">
        <f>INDEX(Dim_Product!$E:E, MATCH($A31,Dim_Product!$A:$A,0))</f>
        <v>Camel</v>
      </c>
      <c r="F31" s="40" t="str">
        <f>INDEX(Dim_Product!$F:F, MATCH($A31,Dim_Product!$A:$A,0))</f>
        <v>Core</v>
      </c>
      <c r="G31" s="41">
        <f>INDEX(Dim_Product!$G:G, MATCH($A31,Dim_Product!$A:$A,0))</f>
        <v>44.99</v>
      </c>
      <c r="H31" s="18">
        <f>SUMIFS(Fact_Weekly!$D$2:$D$1500,Fact_Weekly!$B$2:$B$1500,$A31,Fact_Weekly!$C$2:$C$1500,$B31)</f>
        <v>183</v>
      </c>
      <c r="I31" s="18">
        <f>SUMIFS(Fact_Weekly!$E$2:$E$1500,Fact_Weekly!$B$2:$B$1500,$A31,Fact_Weekly!$C$2:$C$1500,$B31)</f>
        <v>178</v>
      </c>
      <c r="J31" s="18">
        <f t="shared" si="0"/>
        <v>5</v>
      </c>
      <c r="K31" s="19">
        <f t="shared" si="1"/>
        <v>0.97267759562841527</v>
      </c>
      <c r="L31" s="18">
        <f>SUMIFS(Fact_Weekly!$E$2:$E$1500,Fact_Weekly!$B$2:$B$1500,$A31,Fact_Weekly!$C$2:$C$1500,$B31,Fact_Weekly!$A$2:$A$1500,"&gt;="&amp;(Assumptions!$B$12-Assumptions!$B$11+1))</f>
        <v>55</v>
      </c>
      <c r="M31" s="42">
        <f>L31/Assumptions!$B$11</f>
        <v>13.75</v>
      </c>
      <c r="N31" s="18">
        <f>COUNTIFS(Fact_Weekly!$B$2:$B$1500,$A31,Fact_Weekly!$C$2:$C$1500,$B31,Fact_Weekly!$G$2:$G$1500,"&gt;0")</f>
        <v>12</v>
      </c>
      <c r="O31" s="42">
        <f t="shared" si="2"/>
        <v>14.833333333333334</v>
      </c>
      <c r="P31" s="42">
        <f>IF(M31&gt;0,J31/M31,IF(J31&gt;0,Assumptions!$B$12,0))</f>
        <v>0.36363636363636365</v>
      </c>
      <c r="Q31" s="21">
        <f>IF(AND(N31&lt;Assumptions!$B$12,K31&gt;=0.99),1,0)</f>
        <v>0</v>
      </c>
      <c r="R31" s="42">
        <f t="shared" si="3"/>
        <v>13.75</v>
      </c>
      <c r="S31" s="42">
        <f>IF(Q31=1,(Assumptions!$B$12-N31)*(H31/Assumptions!$B$12),0)</f>
        <v>0</v>
      </c>
      <c r="T31" s="20">
        <f>S31*G31</f>
        <v>0</v>
      </c>
      <c r="U31" s="21">
        <f>IF(OR(K31&gt;=Assumptions!$B$5,Q31=1,AND(F31="Core",P31&lt;Assumptions!$B$7)),1,0)</f>
        <v>1</v>
      </c>
      <c r="V31" s="21">
        <f>IF(AND(F31="Seasonal",K31&lt;Assumptions!$B$6,P31&gt;Assumptions!$B$8),1,0)</f>
        <v>0</v>
      </c>
      <c r="W31" s="18">
        <f>IF(U31=1,ROUND(MAX(0,Assumptions!$B$9*R31-J31),0),0)</f>
        <v>78</v>
      </c>
      <c r="X31" s="44" t="str">
        <f t="shared" si="4"/>
        <v>Reorder / replenish</v>
      </c>
    </row>
    <row r="32" spans="1:24" x14ac:dyDescent="0.35">
      <c r="A32" s="43" t="s">
        <v>119</v>
      </c>
      <c r="B32" s="22" t="s">
        <v>66</v>
      </c>
      <c r="C32" s="40" t="str">
        <f>INDEX(Dim_Product!$B:B, MATCH($A32,Dim_Product!$A:$A,0))</f>
        <v>Tailored Cigarette Trouser</v>
      </c>
      <c r="D32" s="40" t="str">
        <f>INDEX(Dim_Product!$D:D, MATCH($A32,Dim_Product!$A:$A,0))</f>
        <v>Trousers</v>
      </c>
      <c r="E32" s="40" t="str">
        <f>INDEX(Dim_Product!$E:E, MATCH($A32,Dim_Product!$A:$A,0))</f>
        <v>Camel</v>
      </c>
      <c r="F32" s="40" t="str">
        <f>INDEX(Dim_Product!$F:F, MATCH($A32,Dim_Product!$A:$A,0))</f>
        <v>Core</v>
      </c>
      <c r="G32" s="41">
        <f>INDEX(Dim_Product!$G:G, MATCH($A32,Dim_Product!$A:$A,0))</f>
        <v>44.99</v>
      </c>
      <c r="H32" s="18">
        <f>SUMIFS(Fact_Weekly!$D$2:$D$1500,Fact_Weekly!$B$2:$B$1500,$A32,Fact_Weekly!$C$2:$C$1500,$B32)</f>
        <v>123</v>
      </c>
      <c r="I32" s="18">
        <f>SUMIFS(Fact_Weekly!$E$2:$E$1500,Fact_Weekly!$B$2:$B$1500,$A32,Fact_Weekly!$C$2:$C$1500,$B32)</f>
        <v>112</v>
      </c>
      <c r="J32" s="18">
        <f t="shared" si="0"/>
        <v>11</v>
      </c>
      <c r="K32" s="19">
        <f t="shared" si="1"/>
        <v>0.91056910569105687</v>
      </c>
      <c r="L32" s="18">
        <f>SUMIFS(Fact_Weekly!$E$2:$E$1500,Fact_Weekly!$B$2:$B$1500,$A32,Fact_Weekly!$C$2:$C$1500,$B32,Fact_Weekly!$A$2:$A$1500,"&gt;="&amp;(Assumptions!$B$12-Assumptions!$B$11+1))</f>
        <v>37</v>
      </c>
      <c r="M32" s="42">
        <f>L32/Assumptions!$B$11</f>
        <v>9.25</v>
      </c>
      <c r="N32" s="18">
        <f>COUNTIFS(Fact_Weekly!$B$2:$B$1500,$A32,Fact_Weekly!$C$2:$C$1500,$B32,Fact_Weekly!$G$2:$G$1500,"&gt;0")</f>
        <v>12</v>
      </c>
      <c r="O32" s="42">
        <f t="shared" si="2"/>
        <v>9.3333333333333339</v>
      </c>
      <c r="P32" s="42">
        <f>IF(M32&gt;0,J32/M32,IF(J32&gt;0,Assumptions!$B$12,0))</f>
        <v>1.1891891891891893</v>
      </c>
      <c r="Q32" s="21">
        <f>IF(AND(N32&lt;Assumptions!$B$12,K32&gt;=0.99),1,0)</f>
        <v>0</v>
      </c>
      <c r="R32" s="42">
        <f t="shared" si="3"/>
        <v>9.25</v>
      </c>
      <c r="S32" s="42">
        <f>IF(Q32=1,(Assumptions!$B$12-N32)*(H32/Assumptions!$B$12),0)</f>
        <v>0</v>
      </c>
      <c r="T32" s="20">
        <f>S32*G32</f>
        <v>0</v>
      </c>
      <c r="U32" s="21">
        <f>IF(OR(K32&gt;=Assumptions!$B$5,Q32=1,AND(F32="Core",P32&lt;Assumptions!$B$7)),1,0)</f>
        <v>1</v>
      </c>
      <c r="V32" s="21">
        <f>IF(AND(F32="Seasonal",K32&lt;Assumptions!$B$6,P32&gt;Assumptions!$B$8),1,0)</f>
        <v>0</v>
      </c>
      <c r="W32" s="18">
        <f>IF(U32=1,ROUND(MAX(0,Assumptions!$B$9*R32-J32),0),0)</f>
        <v>45</v>
      </c>
      <c r="X32" s="44" t="str">
        <f t="shared" si="4"/>
        <v>Reorder / replenish</v>
      </c>
    </row>
    <row r="33" spans="1:24" x14ac:dyDescent="0.35">
      <c r="A33" s="43" t="s">
        <v>119</v>
      </c>
      <c r="B33" s="22" t="s">
        <v>68</v>
      </c>
      <c r="C33" s="40" t="str">
        <f>INDEX(Dim_Product!$B:B, MATCH($A33,Dim_Product!$A:$A,0))</f>
        <v>Tailored Cigarette Trouser</v>
      </c>
      <c r="D33" s="40" t="str">
        <f>INDEX(Dim_Product!$D:D, MATCH($A33,Dim_Product!$A:$A,0))</f>
        <v>Trousers</v>
      </c>
      <c r="E33" s="40" t="str">
        <f>INDEX(Dim_Product!$E:E, MATCH($A33,Dim_Product!$A:$A,0))</f>
        <v>Camel</v>
      </c>
      <c r="F33" s="40" t="str">
        <f>INDEX(Dim_Product!$F:F, MATCH($A33,Dim_Product!$A:$A,0))</f>
        <v>Core</v>
      </c>
      <c r="G33" s="41">
        <f>INDEX(Dim_Product!$G:G, MATCH($A33,Dim_Product!$A:$A,0))</f>
        <v>44.99</v>
      </c>
      <c r="H33" s="18">
        <f>SUMIFS(Fact_Weekly!$D$2:$D$1500,Fact_Weekly!$B$2:$B$1500,$A33,Fact_Weekly!$C$2:$C$1500,$B33)</f>
        <v>172</v>
      </c>
      <c r="I33" s="18">
        <f>SUMIFS(Fact_Weekly!$E$2:$E$1500,Fact_Weekly!$B$2:$B$1500,$A33,Fact_Weekly!$C$2:$C$1500,$B33)</f>
        <v>143</v>
      </c>
      <c r="J33" s="18">
        <f t="shared" si="0"/>
        <v>29</v>
      </c>
      <c r="K33" s="19">
        <f t="shared" si="1"/>
        <v>0.83139534883720934</v>
      </c>
      <c r="L33" s="18">
        <f>SUMIFS(Fact_Weekly!$E$2:$E$1500,Fact_Weekly!$B$2:$B$1500,$A33,Fact_Weekly!$C$2:$C$1500,$B33,Fact_Weekly!$A$2:$A$1500,"&gt;="&amp;(Assumptions!$B$12-Assumptions!$B$11+1))</f>
        <v>48</v>
      </c>
      <c r="M33" s="42">
        <f>L33/Assumptions!$B$11</f>
        <v>12</v>
      </c>
      <c r="N33" s="18">
        <f>COUNTIFS(Fact_Weekly!$B$2:$B$1500,$A33,Fact_Weekly!$C$2:$C$1500,$B33,Fact_Weekly!$G$2:$G$1500,"&gt;0")</f>
        <v>12</v>
      </c>
      <c r="O33" s="42">
        <f t="shared" si="2"/>
        <v>11.916666666666666</v>
      </c>
      <c r="P33" s="42">
        <f>IF(M33&gt;0,J33/M33,IF(J33&gt;0,Assumptions!$B$12,0))</f>
        <v>2.4166666666666665</v>
      </c>
      <c r="Q33" s="21">
        <f>IF(AND(N33&lt;Assumptions!$B$12,K33&gt;=0.99),1,0)</f>
        <v>0</v>
      </c>
      <c r="R33" s="42">
        <f t="shared" si="3"/>
        <v>12</v>
      </c>
      <c r="S33" s="42">
        <f>IF(Q33=1,(Assumptions!$B$12-N33)*(H33/Assumptions!$B$12),0)</f>
        <v>0</v>
      </c>
      <c r="T33" s="20">
        <f>S33*G33</f>
        <v>0</v>
      </c>
      <c r="U33" s="21">
        <f>IF(OR(K33&gt;=Assumptions!$B$5,Q33=1,AND(F33="Core",P33&lt;Assumptions!$B$7)),1,0)</f>
        <v>1</v>
      </c>
      <c r="V33" s="21">
        <f>IF(AND(F33="Seasonal",K33&lt;Assumptions!$B$6,P33&gt;Assumptions!$B$8),1,0)</f>
        <v>0</v>
      </c>
      <c r="W33" s="18">
        <f>IF(U33=1,ROUND(MAX(0,Assumptions!$B$9*R33-J33),0),0)</f>
        <v>43</v>
      </c>
      <c r="X33" s="44" t="str">
        <f t="shared" si="4"/>
        <v>Reorder / replenish</v>
      </c>
    </row>
    <row r="34" spans="1:24" x14ac:dyDescent="0.35">
      <c r="A34" s="43" t="s">
        <v>121</v>
      </c>
      <c r="B34" s="22" t="s">
        <v>62</v>
      </c>
      <c r="C34" s="40" t="str">
        <f>INDEX(Dim_Product!$B:B, MATCH($A34,Dim_Product!$A:$A,0))</f>
        <v>Roll-Neck Jumper</v>
      </c>
      <c r="D34" s="40" t="str">
        <f>INDEX(Dim_Product!$D:D, MATCH($A34,Dim_Product!$A:$A,0))</f>
        <v>Knitwear</v>
      </c>
      <c r="E34" s="40" t="str">
        <f>INDEX(Dim_Product!$E:E, MATCH($A34,Dim_Product!$A:$A,0))</f>
        <v>Black</v>
      </c>
      <c r="F34" s="40" t="str">
        <f>INDEX(Dim_Product!$F:F, MATCH($A34,Dim_Product!$A:$A,0))</f>
        <v>Core</v>
      </c>
      <c r="G34" s="41">
        <f>INDEX(Dim_Product!$G:G, MATCH($A34,Dim_Product!$A:$A,0))</f>
        <v>34.99</v>
      </c>
      <c r="H34" s="18">
        <f>SUMIFS(Fact_Weekly!$D$2:$D$1500,Fact_Weekly!$B$2:$B$1500,$A34,Fact_Weekly!$C$2:$C$1500,$B34)</f>
        <v>69</v>
      </c>
      <c r="I34" s="18">
        <f>SUMIFS(Fact_Weekly!$E$2:$E$1500,Fact_Weekly!$B$2:$B$1500,$A34,Fact_Weekly!$C$2:$C$1500,$B34)</f>
        <v>69</v>
      </c>
      <c r="J34" s="18">
        <f t="shared" si="0"/>
        <v>0</v>
      </c>
      <c r="K34" s="19">
        <f t="shared" ref="K34:K65" si="5">IF(H34&gt;0,I34/H34,0)</f>
        <v>1</v>
      </c>
      <c r="L34" s="18">
        <f>SUMIFS(Fact_Weekly!$E$2:$E$1500,Fact_Weekly!$B$2:$B$1500,$A34,Fact_Weekly!$C$2:$C$1500,$B34,Fact_Weekly!$A$2:$A$1500,"&gt;="&amp;(Assumptions!$B$12-Assumptions!$B$11+1))</f>
        <v>18</v>
      </c>
      <c r="M34" s="42">
        <f>L34/Assumptions!$B$11</f>
        <v>4.5</v>
      </c>
      <c r="N34" s="18">
        <f>COUNTIFS(Fact_Weekly!$B$2:$B$1500,$A34,Fact_Weekly!$C$2:$C$1500,$B34,Fact_Weekly!$G$2:$G$1500,"&gt;0")</f>
        <v>10</v>
      </c>
      <c r="O34" s="42">
        <f t="shared" ref="O34:O65" si="6">IF(N34&gt;0,I34/N34,0)</f>
        <v>6.9</v>
      </c>
      <c r="P34" s="42">
        <f>IF(M34&gt;0,J34/M34,IF(J34&gt;0,Assumptions!$B$12,0))</f>
        <v>0</v>
      </c>
      <c r="Q34" s="21">
        <f>IF(AND(N34&lt;Assumptions!$B$12,K34&gt;=0.99),1,0)</f>
        <v>1</v>
      </c>
      <c r="R34" s="42">
        <f t="shared" si="3"/>
        <v>6.9</v>
      </c>
      <c r="S34" s="42">
        <f>IF(Q34=1,(Assumptions!$B$12-N34)*(H34/Assumptions!$B$12),0)</f>
        <v>11.5</v>
      </c>
      <c r="T34" s="20">
        <f>S34*G34</f>
        <v>402.38500000000005</v>
      </c>
      <c r="U34" s="21">
        <f>IF(OR(K34&gt;=Assumptions!$B$5,Q34=1,AND(F34="Core",P34&lt;Assumptions!$B$7)),1,0)</f>
        <v>1</v>
      </c>
      <c r="V34" s="21">
        <f>IF(AND(F34="Seasonal",K34&lt;Assumptions!$B$6,P34&gt;Assumptions!$B$8),1,0)</f>
        <v>0</v>
      </c>
      <c r="W34" s="18">
        <f>IF(U34=1,ROUND(MAX(0,Assumptions!$B$9*R34-J34),0),0)</f>
        <v>41</v>
      </c>
      <c r="X34" s="44" t="str">
        <f t="shared" ref="X34:X65" si="7">IF(V34=1,"Markdown / clear",IF(AND(U34=1,Q34=1),"Reorder - recover lost sales",IF(U34=1,"Reorder / replenish","Maintain / monitor")))</f>
        <v>Reorder - recover lost sales</v>
      </c>
    </row>
    <row r="35" spans="1:24" x14ac:dyDescent="0.35">
      <c r="A35" s="43" t="s">
        <v>121</v>
      </c>
      <c r="B35" s="22" t="s">
        <v>64</v>
      </c>
      <c r="C35" s="40" t="str">
        <f>INDEX(Dim_Product!$B:B, MATCH($A35,Dim_Product!$A:$A,0))</f>
        <v>Roll-Neck Jumper</v>
      </c>
      <c r="D35" s="40" t="str">
        <f>INDEX(Dim_Product!$D:D, MATCH($A35,Dim_Product!$A:$A,0))</f>
        <v>Knitwear</v>
      </c>
      <c r="E35" s="40" t="str">
        <f>INDEX(Dim_Product!$E:E, MATCH($A35,Dim_Product!$A:$A,0))</f>
        <v>Black</v>
      </c>
      <c r="F35" s="40" t="str">
        <f>INDEX(Dim_Product!$F:F, MATCH($A35,Dim_Product!$A:$A,0))</f>
        <v>Core</v>
      </c>
      <c r="G35" s="41">
        <f>INDEX(Dim_Product!$G:G, MATCH($A35,Dim_Product!$A:$A,0))</f>
        <v>34.99</v>
      </c>
      <c r="H35" s="18">
        <f>SUMIFS(Fact_Weekly!$D$2:$D$1500,Fact_Weekly!$B$2:$B$1500,$A35,Fact_Weekly!$C$2:$C$1500,$B35)</f>
        <v>96</v>
      </c>
      <c r="I35" s="18">
        <f>SUMIFS(Fact_Weekly!$E$2:$E$1500,Fact_Weekly!$B$2:$B$1500,$A35,Fact_Weekly!$C$2:$C$1500,$B35)</f>
        <v>96</v>
      </c>
      <c r="J35" s="18">
        <f t="shared" si="0"/>
        <v>0</v>
      </c>
      <c r="K35" s="19">
        <f t="shared" si="5"/>
        <v>1</v>
      </c>
      <c r="L35" s="18">
        <f>SUMIFS(Fact_Weekly!$E$2:$E$1500,Fact_Weekly!$B$2:$B$1500,$A35,Fact_Weekly!$C$2:$C$1500,$B35,Fact_Weekly!$A$2:$A$1500,"&gt;="&amp;(Assumptions!$B$12-Assumptions!$B$11+1))</f>
        <v>32</v>
      </c>
      <c r="M35" s="42">
        <f>L35/Assumptions!$B$11</f>
        <v>8</v>
      </c>
      <c r="N35" s="18">
        <f>COUNTIFS(Fact_Weekly!$B$2:$B$1500,$A35,Fact_Weekly!$C$2:$C$1500,$B35,Fact_Weekly!$G$2:$G$1500,"&gt;0")</f>
        <v>11</v>
      </c>
      <c r="O35" s="42">
        <f t="shared" si="6"/>
        <v>8.7272727272727266</v>
      </c>
      <c r="P35" s="42">
        <f>IF(M35&gt;0,J35/M35,IF(J35&gt;0,Assumptions!$B$12,0))</f>
        <v>0</v>
      </c>
      <c r="Q35" s="21">
        <f>IF(AND(N35&lt;Assumptions!$B$12,K35&gt;=0.99),1,0)</f>
        <v>1</v>
      </c>
      <c r="R35" s="42">
        <f t="shared" si="3"/>
        <v>8.7272727272727266</v>
      </c>
      <c r="S35" s="42">
        <f>IF(Q35=1,(Assumptions!$B$12-N35)*(H35/Assumptions!$B$12),0)</f>
        <v>8</v>
      </c>
      <c r="T35" s="20">
        <f>S35*G35</f>
        <v>279.92</v>
      </c>
      <c r="U35" s="21">
        <f>IF(OR(K35&gt;=Assumptions!$B$5,Q35=1,AND(F35="Core",P35&lt;Assumptions!$B$7)),1,0)</f>
        <v>1</v>
      </c>
      <c r="V35" s="21">
        <f>IF(AND(F35="Seasonal",K35&lt;Assumptions!$B$6,P35&gt;Assumptions!$B$8),1,0)</f>
        <v>0</v>
      </c>
      <c r="W35" s="18">
        <f>IF(U35=1,ROUND(MAX(0,Assumptions!$B$9*R35-J35),0),0)</f>
        <v>52</v>
      </c>
      <c r="X35" s="44" t="str">
        <f t="shared" si="7"/>
        <v>Reorder - recover lost sales</v>
      </c>
    </row>
    <row r="36" spans="1:24" x14ac:dyDescent="0.35">
      <c r="A36" s="43" t="s">
        <v>121</v>
      </c>
      <c r="B36" s="22" t="s">
        <v>66</v>
      </c>
      <c r="C36" s="40" t="str">
        <f>INDEX(Dim_Product!$B:B, MATCH($A36,Dim_Product!$A:$A,0))</f>
        <v>Roll-Neck Jumper</v>
      </c>
      <c r="D36" s="40" t="str">
        <f>INDEX(Dim_Product!$D:D, MATCH($A36,Dim_Product!$A:$A,0))</f>
        <v>Knitwear</v>
      </c>
      <c r="E36" s="40" t="str">
        <f>INDEX(Dim_Product!$E:E, MATCH($A36,Dim_Product!$A:$A,0))</f>
        <v>Black</v>
      </c>
      <c r="F36" s="40" t="str">
        <f>INDEX(Dim_Product!$F:F, MATCH($A36,Dim_Product!$A:$A,0))</f>
        <v>Core</v>
      </c>
      <c r="G36" s="41">
        <f>INDEX(Dim_Product!$G:G, MATCH($A36,Dim_Product!$A:$A,0))</f>
        <v>34.99</v>
      </c>
      <c r="H36" s="18">
        <f>SUMIFS(Fact_Weekly!$D$2:$D$1500,Fact_Weekly!$B$2:$B$1500,$A36,Fact_Weekly!$C$2:$C$1500,$B36)</f>
        <v>59</v>
      </c>
      <c r="I36" s="18">
        <f>SUMIFS(Fact_Weekly!$E$2:$E$1500,Fact_Weekly!$B$2:$B$1500,$A36,Fact_Weekly!$C$2:$C$1500,$B36)</f>
        <v>59</v>
      </c>
      <c r="J36" s="18">
        <f t="shared" si="0"/>
        <v>0</v>
      </c>
      <c r="K36" s="19">
        <f t="shared" si="5"/>
        <v>1</v>
      </c>
      <c r="L36" s="18">
        <f>SUMIFS(Fact_Weekly!$E$2:$E$1500,Fact_Weekly!$B$2:$B$1500,$A36,Fact_Weekly!$C$2:$C$1500,$B36,Fact_Weekly!$A$2:$A$1500,"&gt;="&amp;(Assumptions!$B$12-Assumptions!$B$11+1))</f>
        <v>19</v>
      </c>
      <c r="M36" s="42">
        <f>L36/Assumptions!$B$11</f>
        <v>4.75</v>
      </c>
      <c r="N36" s="18">
        <f>COUNTIFS(Fact_Weekly!$B$2:$B$1500,$A36,Fact_Weekly!$C$2:$C$1500,$B36,Fact_Weekly!$G$2:$G$1500,"&gt;0")</f>
        <v>11</v>
      </c>
      <c r="O36" s="42">
        <f t="shared" si="6"/>
        <v>5.3636363636363633</v>
      </c>
      <c r="P36" s="42">
        <f>IF(M36&gt;0,J36/M36,IF(J36&gt;0,Assumptions!$B$12,0))</f>
        <v>0</v>
      </c>
      <c r="Q36" s="21">
        <f>IF(AND(N36&lt;Assumptions!$B$12,K36&gt;=0.99),1,0)</f>
        <v>1</v>
      </c>
      <c r="R36" s="42">
        <f t="shared" si="3"/>
        <v>5.3636363636363633</v>
      </c>
      <c r="S36" s="42">
        <f>IF(Q36=1,(Assumptions!$B$12-N36)*(H36/Assumptions!$B$12),0)</f>
        <v>4.916666666666667</v>
      </c>
      <c r="T36" s="20">
        <f>S36*G36</f>
        <v>172.03416666666669</v>
      </c>
      <c r="U36" s="21">
        <f>IF(OR(K36&gt;=Assumptions!$B$5,Q36=1,AND(F36="Core",P36&lt;Assumptions!$B$7)),1,0)</f>
        <v>1</v>
      </c>
      <c r="V36" s="21">
        <f>IF(AND(F36="Seasonal",K36&lt;Assumptions!$B$6,P36&gt;Assumptions!$B$8),1,0)</f>
        <v>0</v>
      </c>
      <c r="W36" s="18">
        <f>IF(U36=1,ROUND(MAX(0,Assumptions!$B$9*R36-J36),0),0)</f>
        <v>32</v>
      </c>
      <c r="X36" s="44" t="str">
        <f t="shared" si="7"/>
        <v>Reorder - recover lost sales</v>
      </c>
    </row>
    <row r="37" spans="1:24" x14ac:dyDescent="0.35">
      <c r="A37" s="43" t="s">
        <v>121</v>
      </c>
      <c r="B37" s="22" t="s">
        <v>68</v>
      </c>
      <c r="C37" s="40" t="str">
        <f>INDEX(Dim_Product!$B:B, MATCH($A37,Dim_Product!$A:$A,0))</f>
        <v>Roll-Neck Jumper</v>
      </c>
      <c r="D37" s="40" t="str">
        <f>INDEX(Dim_Product!$D:D, MATCH($A37,Dim_Product!$A:$A,0))</f>
        <v>Knitwear</v>
      </c>
      <c r="E37" s="40" t="str">
        <f>INDEX(Dim_Product!$E:E, MATCH($A37,Dim_Product!$A:$A,0))</f>
        <v>Black</v>
      </c>
      <c r="F37" s="40" t="str">
        <f>INDEX(Dim_Product!$F:F, MATCH($A37,Dim_Product!$A:$A,0))</f>
        <v>Core</v>
      </c>
      <c r="G37" s="41">
        <f>INDEX(Dim_Product!$G:G, MATCH($A37,Dim_Product!$A:$A,0))</f>
        <v>34.99</v>
      </c>
      <c r="H37" s="18">
        <f>SUMIFS(Fact_Weekly!$D$2:$D$1500,Fact_Weekly!$B$2:$B$1500,$A37,Fact_Weekly!$C$2:$C$1500,$B37)</f>
        <v>81</v>
      </c>
      <c r="I37" s="18">
        <f>SUMIFS(Fact_Weekly!$E$2:$E$1500,Fact_Weekly!$B$2:$B$1500,$A37,Fact_Weekly!$C$2:$C$1500,$B37)</f>
        <v>81</v>
      </c>
      <c r="J37" s="18">
        <f t="shared" si="0"/>
        <v>0</v>
      </c>
      <c r="K37" s="19">
        <f t="shared" si="5"/>
        <v>1</v>
      </c>
      <c r="L37" s="18">
        <f>SUMIFS(Fact_Weekly!$E$2:$E$1500,Fact_Weekly!$B$2:$B$1500,$A37,Fact_Weekly!$C$2:$C$1500,$B37,Fact_Weekly!$A$2:$A$1500,"&gt;="&amp;(Assumptions!$B$12-Assumptions!$B$11+1))</f>
        <v>22</v>
      </c>
      <c r="M37" s="42">
        <f>L37/Assumptions!$B$11</f>
        <v>5.5</v>
      </c>
      <c r="N37" s="18">
        <f>COUNTIFS(Fact_Weekly!$B$2:$B$1500,$A37,Fact_Weekly!$C$2:$C$1500,$B37,Fact_Weekly!$G$2:$G$1500,"&gt;0")</f>
        <v>11</v>
      </c>
      <c r="O37" s="42">
        <f t="shared" si="6"/>
        <v>7.3636363636363633</v>
      </c>
      <c r="P37" s="42">
        <f>IF(M37&gt;0,J37/M37,IF(J37&gt;0,Assumptions!$B$12,0))</f>
        <v>0</v>
      </c>
      <c r="Q37" s="21">
        <f>IF(AND(N37&lt;Assumptions!$B$12,K37&gt;=0.99),1,0)</f>
        <v>1</v>
      </c>
      <c r="R37" s="42">
        <f t="shared" si="3"/>
        <v>7.3636363636363633</v>
      </c>
      <c r="S37" s="42">
        <f>IF(Q37=1,(Assumptions!$B$12-N37)*(H37/Assumptions!$B$12),0)</f>
        <v>6.75</v>
      </c>
      <c r="T37" s="20">
        <f>S37*G37</f>
        <v>236.1825</v>
      </c>
      <c r="U37" s="21">
        <f>IF(OR(K37&gt;=Assumptions!$B$5,Q37=1,AND(F37="Core",P37&lt;Assumptions!$B$7)),1,0)</f>
        <v>1</v>
      </c>
      <c r="V37" s="21">
        <f>IF(AND(F37="Seasonal",K37&lt;Assumptions!$B$6,P37&gt;Assumptions!$B$8),1,0)</f>
        <v>0</v>
      </c>
      <c r="W37" s="18">
        <f>IF(U37=1,ROUND(MAX(0,Assumptions!$B$9*R37-J37),0),0)</f>
        <v>44</v>
      </c>
      <c r="X37" s="44" t="str">
        <f t="shared" si="7"/>
        <v>Reorder - recover lost sales</v>
      </c>
    </row>
    <row r="38" spans="1:24" x14ac:dyDescent="0.35">
      <c r="A38" s="43" t="s">
        <v>124</v>
      </c>
      <c r="B38" s="22" t="s">
        <v>62</v>
      </c>
      <c r="C38" s="40" t="str">
        <f>INDEX(Dim_Product!$B:B, MATCH($A38,Dim_Product!$A:$A,0))</f>
        <v>Roll-Neck Jumper</v>
      </c>
      <c r="D38" s="40" t="str">
        <f>INDEX(Dim_Product!$D:D, MATCH($A38,Dim_Product!$A:$A,0))</f>
        <v>Knitwear</v>
      </c>
      <c r="E38" s="40" t="str">
        <f>INDEX(Dim_Product!$E:E, MATCH($A38,Dim_Product!$A:$A,0))</f>
        <v>Cream</v>
      </c>
      <c r="F38" s="40" t="str">
        <f>INDEX(Dim_Product!$F:F, MATCH($A38,Dim_Product!$A:$A,0))</f>
        <v>Core</v>
      </c>
      <c r="G38" s="41">
        <f>INDEX(Dim_Product!$G:G, MATCH($A38,Dim_Product!$A:$A,0))</f>
        <v>34.99</v>
      </c>
      <c r="H38" s="18">
        <f>SUMIFS(Fact_Weekly!$D$2:$D$1500,Fact_Weekly!$B$2:$B$1500,$A38,Fact_Weekly!$C$2:$C$1500,$B38)</f>
        <v>86</v>
      </c>
      <c r="I38" s="18">
        <f>SUMIFS(Fact_Weekly!$E$2:$E$1500,Fact_Weekly!$B$2:$B$1500,$A38,Fact_Weekly!$C$2:$C$1500,$B38)</f>
        <v>81</v>
      </c>
      <c r="J38" s="18">
        <f t="shared" si="0"/>
        <v>5</v>
      </c>
      <c r="K38" s="19">
        <f t="shared" si="5"/>
        <v>0.94186046511627908</v>
      </c>
      <c r="L38" s="18">
        <f>SUMIFS(Fact_Weekly!$E$2:$E$1500,Fact_Weekly!$B$2:$B$1500,$A38,Fact_Weekly!$C$2:$C$1500,$B38,Fact_Weekly!$A$2:$A$1500,"&gt;="&amp;(Assumptions!$B$12-Assumptions!$B$11+1))</f>
        <v>25</v>
      </c>
      <c r="M38" s="42">
        <f>L38/Assumptions!$B$11</f>
        <v>6.25</v>
      </c>
      <c r="N38" s="18">
        <f>COUNTIFS(Fact_Weekly!$B$2:$B$1500,$A38,Fact_Weekly!$C$2:$C$1500,$B38,Fact_Weekly!$G$2:$G$1500,"&gt;0")</f>
        <v>12</v>
      </c>
      <c r="O38" s="42">
        <f t="shared" si="6"/>
        <v>6.75</v>
      </c>
      <c r="P38" s="42">
        <f>IF(M38&gt;0,J38/M38,IF(J38&gt;0,Assumptions!$B$12,0))</f>
        <v>0.8</v>
      </c>
      <c r="Q38" s="21">
        <f>IF(AND(N38&lt;Assumptions!$B$12,K38&gt;=0.99),1,0)</f>
        <v>0</v>
      </c>
      <c r="R38" s="42">
        <f t="shared" si="3"/>
        <v>6.25</v>
      </c>
      <c r="S38" s="42">
        <f>IF(Q38=1,(Assumptions!$B$12-N38)*(H38/Assumptions!$B$12),0)</f>
        <v>0</v>
      </c>
      <c r="T38" s="20">
        <f>S38*G38</f>
        <v>0</v>
      </c>
      <c r="U38" s="21">
        <f>IF(OR(K38&gt;=Assumptions!$B$5,Q38=1,AND(F38="Core",P38&lt;Assumptions!$B$7)),1,0)</f>
        <v>1</v>
      </c>
      <c r="V38" s="21">
        <f>IF(AND(F38="Seasonal",K38&lt;Assumptions!$B$6,P38&gt;Assumptions!$B$8),1,0)</f>
        <v>0</v>
      </c>
      <c r="W38" s="18">
        <f>IF(U38=1,ROUND(MAX(0,Assumptions!$B$9*R38-J38),0),0)</f>
        <v>33</v>
      </c>
      <c r="X38" s="44" t="str">
        <f t="shared" si="7"/>
        <v>Reorder / replenish</v>
      </c>
    </row>
    <row r="39" spans="1:24" x14ac:dyDescent="0.35">
      <c r="A39" s="43" t="s">
        <v>124</v>
      </c>
      <c r="B39" s="22" t="s">
        <v>64</v>
      </c>
      <c r="C39" s="40" t="str">
        <f>INDEX(Dim_Product!$B:B, MATCH($A39,Dim_Product!$A:$A,0))</f>
        <v>Roll-Neck Jumper</v>
      </c>
      <c r="D39" s="40" t="str">
        <f>INDEX(Dim_Product!$D:D, MATCH($A39,Dim_Product!$A:$A,0))</f>
        <v>Knitwear</v>
      </c>
      <c r="E39" s="40" t="str">
        <f>INDEX(Dim_Product!$E:E, MATCH($A39,Dim_Product!$A:$A,0))</f>
        <v>Cream</v>
      </c>
      <c r="F39" s="40" t="str">
        <f>INDEX(Dim_Product!$F:F, MATCH($A39,Dim_Product!$A:$A,0))</f>
        <v>Core</v>
      </c>
      <c r="G39" s="41">
        <f>INDEX(Dim_Product!$G:G, MATCH($A39,Dim_Product!$A:$A,0))</f>
        <v>34.99</v>
      </c>
      <c r="H39" s="18">
        <f>SUMIFS(Fact_Weekly!$D$2:$D$1500,Fact_Weekly!$B$2:$B$1500,$A39,Fact_Weekly!$C$2:$C$1500,$B39)</f>
        <v>123</v>
      </c>
      <c r="I39" s="18">
        <f>SUMIFS(Fact_Weekly!$E$2:$E$1500,Fact_Weekly!$B$2:$B$1500,$A39,Fact_Weekly!$C$2:$C$1500,$B39)</f>
        <v>120</v>
      </c>
      <c r="J39" s="18">
        <f t="shared" si="0"/>
        <v>3</v>
      </c>
      <c r="K39" s="19">
        <f t="shared" si="5"/>
        <v>0.97560975609756095</v>
      </c>
      <c r="L39" s="18">
        <f>SUMIFS(Fact_Weekly!$E$2:$E$1500,Fact_Weekly!$B$2:$B$1500,$A39,Fact_Weekly!$C$2:$C$1500,$B39,Fact_Weekly!$A$2:$A$1500,"&gt;="&amp;(Assumptions!$B$12-Assumptions!$B$11+1))</f>
        <v>40</v>
      </c>
      <c r="M39" s="42">
        <f>L39/Assumptions!$B$11</f>
        <v>10</v>
      </c>
      <c r="N39" s="18">
        <f>COUNTIFS(Fact_Weekly!$B$2:$B$1500,$A39,Fact_Weekly!$C$2:$C$1500,$B39,Fact_Weekly!$G$2:$G$1500,"&gt;0")</f>
        <v>12</v>
      </c>
      <c r="O39" s="42">
        <f t="shared" si="6"/>
        <v>10</v>
      </c>
      <c r="P39" s="42">
        <f>IF(M39&gt;0,J39/M39,IF(J39&gt;0,Assumptions!$B$12,0))</f>
        <v>0.3</v>
      </c>
      <c r="Q39" s="21">
        <f>IF(AND(N39&lt;Assumptions!$B$12,K39&gt;=0.99),1,0)</f>
        <v>0</v>
      </c>
      <c r="R39" s="42">
        <f t="shared" si="3"/>
        <v>10</v>
      </c>
      <c r="S39" s="42">
        <f>IF(Q39=1,(Assumptions!$B$12-N39)*(H39/Assumptions!$B$12),0)</f>
        <v>0</v>
      </c>
      <c r="T39" s="20">
        <f>S39*G39</f>
        <v>0</v>
      </c>
      <c r="U39" s="21">
        <f>IF(OR(K39&gt;=Assumptions!$B$5,Q39=1,AND(F39="Core",P39&lt;Assumptions!$B$7)),1,0)</f>
        <v>1</v>
      </c>
      <c r="V39" s="21">
        <f>IF(AND(F39="Seasonal",K39&lt;Assumptions!$B$6,P39&gt;Assumptions!$B$8),1,0)</f>
        <v>0</v>
      </c>
      <c r="W39" s="18">
        <f>IF(U39=1,ROUND(MAX(0,Assumptions!$B$9*R39-J39),0),0)</f>
        <v>57</v>
      </c>
      <c r="X39" s="44" t="str">
        <f t="shared" si="7"/>
        <v>Reorder / replenish</v>
      </c>
    </row>
    <row r="40" spans="1:24" x14ac:dyDescent="0.35">
      <c r="A40" s="43" t="s">
        <v>124</v>
      </c>
      <c r="B40" s="22" t="s">
        <v>66</v>
      </c>
      <c r="C40" s="40" t="str">
        <f>INDEX(Dim_Product!$B:B, MATCH($A40,Dim_Product!$A:$A,0))</f>
        <v>Roll-Neck Jumper</v>
      </c>
      <c r="D40" s="40" t="str">
        <f>INDEX(Dim_Product!$D:D, MATCH($A40,Dim_Product!$A:$A,0))</f>
        <v>Knitwear</v>
      </c>
      <c r="E40" s="40" t="str">
        <f>INDEX(Dim_Product!$E:E, MATCH($A40,Dim_Product!$A:$A,0))</f>
        <v>Cream</v>
      </c>
      <c r="F40" s="40" t="str">
        <f>INDEX(Dim_Product!$F:F, MATCH($A40,Dim_Product!$A:$A,0))</f>
        <v>Core</v>
      </c>
      <c r="G40" s="41">
        <f>INDEX(Dim_Product!$G:G, MATCH($A40,Dim_Product!$A:$A,0))</f>
        <v>34.99</v>
      </c>
      <c r="H40" s="18">
        <f>SUMIFS(Fact_Weekly!$D$2:$D$1500,Fact_Weekly!$B$2:$B$1500,$A40,Fact_Weekly!$C$2:$C$1500,$B40)</f>
        <v>82</v>
      </c>
      <c r="I40" s="18">
        <f>SUMIFS(Fact_Weekly!$E$2:$E$1500,Fact_Weekly!$B$2:$B$1500,$A40,Fact_Weekly!$C$2:$C$1500,$B40)</f>
        <v>70</v>
      </c>
      <c r="J40" s="18">
        <f t="shared" si="0"/>
        <v>12</v>
      </c>
      <c r="K40" s="19">
        <f t="shared" si="5"/>
        <v>0.85365853658536583</v>
      </c>
      <c r="L40" s="18">
        <f>SUMIFS(Fact_Weekly!$E$2:$E$1500,Fact_Weekly!$B$2:$B$1500,$A40,Fact_Weekly!$C$2:$C$1500,$B40,Fact_Weekly!$A$2:$A$1500,"&gt;="&amp;(Assumptions!$B$12-Assumptions!$B$11+1))</f>
        <v>20</v>
      </c>
      <c r="M40" s="42">
        <f>L40/Assumptions!$B$11</f>
        <v>5</v>
      </c>
      <c r="N40" s="18">
        <f>COUNTIFS(Fact_Weekly!$B$2:$B$1500,$A40,Fact_Weekly!$C$2:$C$1500,$B40,Fact_Weekly!$G$2:$G$1500,"&gt;0")</f>
        <v>12</v>
      </c>
      <c r="O40" s="42">
        <f t="shared" si="6"/>
        <v>5.833333333333333</v>
      </c>
      <c r="P40" s="42">
        <f>IF(M40&gt;0,J40/M40,IF(J40&gt;0,Assumptions!$B$12,0))</f>
        <v>2.4</v>
      </c>
      <c r="Q40" s="21">
        <f>IF(AND(N40&lt;Assumptions!$B$12,K40&gt;=0.99),1,0)</f>
        <v>0</v>
      </c>
      <c r="R40" s="42">
        <f t="shared" si="3"/>
        <v>5</v>
      </c>
      <c r="S40" s="42">
        <f>IF(Q40=1,(Assumptions!$B$12-N40)*(H40/Assumptions!$B$12),0)</f>
        <v>0</v>
      </c>
      <c r="T40" s="20">
        <f>S40*G40</f>
        <v>0</v>
      </c>
      <c r="U40" s="21">
        <f>IF(OR(K40&gt;=Assumptions!$B$5,Q40=1,AND(F40="Core",P40&lt;Assumptions!$B$7)),1,0)</f>
        <v>1</v>
      </c>
      <c r="V40" s="21">
        <f>IF(AND(F40="Seasonal",K40&lt;Assumptions!$B$6,P40&gt;Assumptions!$B$8),1,0)</f>
        <v>0</v>
      </c>
      <c r="W40" s="18">
        <f>IF(U40=1,ROUND(MAX(0,Assumptions!$B$9*R40-J40),0),0)</f>
        <v>18</v>
      </c>
      <c r="X40" s="44" t="str">
        <f t="shared" si="7"/>
        <v>Reorder / replenish</v>
      </c>
    </row>
    <row r="41" spans="1:24" x14ac:dyDescent="0.35">
      <c r="A41" s="43" t="s">
        <v>124</v>
      </c>
      <c r="B41" s="22" t="s">
        <v>68</v>
      </c>
      <c r="C41" s="40" t="str">
        <f>INDEX(Dim_Product!$B:B, MATCH($A41,Dim_Product!$A:$A,0))</f>
        <v>Roll-Neck Jumper</v>
      </c>
      <c r="D41" s="40" t="str">
        <f>INDEX(Dim_Product!$D:D, MATCH($A41,Dim_Product!$A:$A,0))</f>
        <v>Knitwear</v>
      </c>
      <c r="E41" s="40" t="str">
        <f>INDEX(Dim_Product!$E:E, MATCH($A41,Dim_Product!$A:$A,0))</f>
        <v>Cream</v>
      </c>
      <c r="F41" s="40" t="str">
        <f>INDEX(Dim_Product!$F:F, MATCH($A41,Dim_Product!$A:$A,0))</f>
        <v>Core</v>
      </c>
      <c r="G41" s="41">
        <f>INDEX(Dim_Product!$G:G, MATCH($A41,Dim_Product!$A:$A,0))</f>
        <v>34.99</v>
      </c>
      <c r="H41" s="18">
        <f>SUMIFS(Fact_Weekly!$D$2:$D$1500,Fact_Weekly!$B$2:$B$1500,$A41,Fact_Weekly!$C$2:$C$1500,$B41)</f>
        <v>100</v>
      </c>
      <c r="I41" s="18">
        <f>SUMIFS(Fact_Weekly!$E$2:$E$1500,Fact_Weekly!$B$2:$B$1500,$A41,Fact_Weekly!$C$2:$C$1500,$B41)</f>
        <v>96</v>
      </c>
      <c r="J41" s="18">
        <f t="shared" si="0"/>
        <v>4</v>
      </c>
      <c r="K41" s="19">
        <f t="shared" si="5"/>
        <v>0.96</v>
      </c>
      <c r="L41" s="18">
        <f>SUMIFS(Fact_Weekly!$E$2:$E$1500,Fact_Weekly!$B$2:$B$1500,$A41,Fact_Weekly!$C$2:$C$1500,$B41,Fact_Weekly!$A$2:$A$1500,"&gt;="&amp;(Assumptions!$B$12-Assumptions!$B$11+1))</f>
        <v>33</v>
      </c>
      <c r="M41" s="42">
        <f>L41/Assumptions!$B$11</f>
        <v>8.25</v>
      </c>
      <c r="N41" s="18">
        <f>COUNTIFS(Fact_Weekly!$B$2:$B$1500,$A41,Fact_Weekly!$C$2:$C$1500,$B41,Fact_Weekly!$G$2:$G$1500,"&gt;0")</f>
        <v>12</v>
      </c>
      <c r="O41" s="42">
        <f t="shared" si="6"/>
        <v>8</v>
      </c>
      <c r="P41" s="42">
        <f>IF(M41&gt;0,J41/M41,IF(J41&gt;0,Assumptions!$B$12,0))</f>
        <v>0.48484848484848486</v>
      </c>
      <c r="Q41" s="21">
        <f>IF(AND(N41&lt;Assumptions!$B$12,K41&gt;=0.99),1,0)</f>
        <v>0</v>
      </c>
      <c r="R41" s="42">
        <f t="shared" si="3"/>
        <v>8.25</v>
      </c>
      <c r="S41" s="42">
        <f>IF(Q41=1,(Assumptions!$B$12-N41)*(H41/Assumptions!$B$12),0)</f>
        <v>0</v>
      </c>
      <c r="T41" s="20">
        <f>S41*G41</f>
        <v>0</v>
      </c>
      <c r="U41" s="21">
        <f>IF(OR(K41&gt;=Assumptions!$B$5,Q41=1,AND(F41="Core",P41&lt;Assumptions!$B$7)),1,0)</f>
        <v>1</v>
      </c>
      <c r="V41" s="21">
        <f>IF(AND(F41="Seasonal",K41&lt;Assumptions!$B$6,P41&gt;Assumptions!$B$8),1,0)</f>
        <v>0</v>
      </c>
      <c r="W41" s="18">
        <f>IF(U41=1,ROUND(MAX(0,Assumptions!$B$9*R41-J41),0),0)</f>
        <v>46</v>
      </c>
      <c r="X41" s="44" t="str">
        <f t="shared" si="7"/>
        <v>Reorder / replenish</v>
      </c>
    </row>
    <row r="42" spans="1:24" x14ac:dyDescent="0.35">
      <c r="A42" s="43" t="s">
        <v>126</v>
      </c>
      <c r="B42" s="22" t="s">
        <v>62</v>
      </c>
      <c r="C42" s="40" t="str">
        <f>INDEX(Dim_Product!$B:B, MATCH($A42,Dim_Product!$A:$A,0))</f>
        <v>Roll-Neck Jumper</v>
      </c>
      <c r="D42" s="40" t="str">
        <f>INDEX(Dim_Product!$D:D, MATCH($A42,Dim_Product!$A:$A,0))</f>
        <v>Knitwear</v>
      </c>
      <c r="E42" s="40" t="str">
        <f>INDEX(Dim_Product!$E:E, MATCH($A42,Dim_Product!$A:$A,0))</f>
        <v>Rust</v>
      </c>
      <c r="F42" s="40" t="str">
        <f>INDEX(Dim_Product!$F:F, MATCH($A42,Dim_Product!$A:$A,0))</f>
        <v>Core</v>
      </c>
      <c r="G42" s="41">
        <f>INDEX(Dim_Product!$G:G, MATCH($A42,Dim_Product!$A:$A,0))</f>
        <v>34.99</v>
      </c>
      <c r="H42" s="18">
        <f>SUMIFS(Fact_Weekly!$D$2:$D$1500,Fact_Weekly!$B$2:$B$1500,$A42,Fact_Weekly!$C$2:$C$1500,$B42)</f>
        <v>133</v>
      </c>
      <c r="I42" s="18">
        <f>SUMIFS(Fact_Weekly!$E$2:$E$1500,Fact_Weekly!$B$2:$B$1500,$A42,Fact_Weekly!$C$2:$C$1500,$B42)</f>
        <v>117</v>
      </c>
      <c r="J42" s="18">
        <f t="shared" si="0"/>
        <v>16</v>
      </c>
      <c r="K42" s="19">
        <f t="shared" si="5"/>
        <v>0.87969924812030076</v>
      </c>
      <c r="L42" s="18">
        <f>SUMIFS(Fact_Weekly!$E$2:$E$1500,Fact_Weekly!$B$2:$B$1500,$A42,Fact_Weekly!$C$2:$C$1500,$B42,Fact_Weekly!$A$2:$A$1500,"&gt;="&amp;(Assumptions!$B$12-Assumptions!$B$11+1))</f>
        <v>41</v>
      </c>
      <c r="M42" s="42">
        <f>L42/Assumptions!$B$11</f>
        <v>10.25</v>
      </c>
      <c r="N42" s="18">
        <f>COUNTIFS(Fact_Weekly!$B$2:$B$1500,$A42,Fact_Weekly!$C$2:$C$1500,$B42,Fact_Weekly!$G$2:$G$1500,"&gt;0")</f>
        <v>12</v>
      </c>
      <c r="O42" s="42">
        <f t="shared" si="6"/>
        <v>9.75</v>
      </c>
      <c r="P42" s="42">
        <f>IF(M42&gt;0,J42/M42,IF(J42&gt;0,Assumptions!$B$12,0))</f>
        <v>1.5609756097560976</v>
      </c>
      <c r="Q42" s="21">
        <f>IF(AND(N42&lt;Assumptions!$B$12,K42&gt;=0.99),1,0)</f>
        <v>0</v>
      </c>
      <c r="R42" s="42">
        <f t="shared" si="3"/>
        <v>10.25</v>
      </c>
      <c r="S42" s="42">
        <f>IF(Q42=1,(Assumptions!$B$12-N42)*(H42/Assumptions!$B$12),0)</f>
        <v>0</v>
      </c>
      <c r="T42" s="20">
        <f>S42*G42</f>
        <v>0</v>
      </c>
      <c r="U42" s="21">
        <f>IF(OR(K42&gt;=Assumptions!$B$5,Q42=1,AND(F42="Core",P42&lt;Assumptions!$B$7)),1,0)</f>
        <v>1</v>
      </c>
      <c r="V42" s="21">
        <f>IF(AND(F42="Seasonal",K42&lt;Assumptions!$B$6,P42&gt;Assumptions!$B$8),1,0)</f>
        <v>0</v>
      </c>
      <c r="W42" s="18">
        <f>IF(U42=1,ROUND(MAX(0,Assumptions!$B$9*R42-J42),0),0)</f>
        <v>46</v>
      </c>
      <c r="X42" s="44" t="str">
        <f t="shared" si="7"/>
        <v>Reorder / replenish</v>
      </c>
    </row>
    <row r="43" spans="1:24" x14ac:dyDescent="0.35">
      <c r="A43" s="43" t="s">
        <v>126</v>
      </c>
      <c r="B43" s="22" t="s">
        <v>64</v>
      </c>
      <c r="C43" s="40" t="str">
        <f>INDEX(Dim_Product!$B:B, MATCH($A43,Dim_Product!$A:$A,0))</f>
        <v>Roll-Neck Jumper</v>
      </c>
      <c r="D43" s="40" t="str">
        <f>INDEX(Dim_Product!$D:D, MATCH($A43,Dim_Product!$A:$A,0))</f>
        <v>Knitwear</v>
      </c>
      <c r="E43" s="40" t="str">
        <f>INDEX(Dim_Product!$E:E, MATCH($A43,Dim_Product!$A:$A,0))</f>
        <v>Rust</v>
      </c>
      <c r="F43" s="40" t="str">
        <f>INDEX(Dim_Product!$F:F, MATCH($A43,Dim_Product!$A:$A,0))</f>
        <v>Core</v>
      </c>
      <c r="G43" s="41">
        <f>INDEX(Dim_Product!$G:G, MATCH($A43,Dim_Product!$A:$A,0))</f>
        <v>34.99</v>
      </c>
      <c r="H43" s="18">
        <f>SUMIFS(Fact_Weekly!$D$2:$D$1500,Fact_Weekly!$B$2:$B$1500,$A43,Fact_Weekly!$C$2:$C$1500,$B43)</f>
        <v>172</v>
      </c>
      <c r="I43" s="18">
        <f>SUMIFS(Fact_Weekly!$E$2:$E$1500,Fact_Weekly!$B$2:$B$1500,$A43,Fact_Weekly!$C$2:$C$1500,$B43)</f>
        <v>161</v>
      </c>
      <c r="J43" s="18">
        <f t="shared" si="0"/>
        <v>11</v>
      </c>
      <c r="K43" s="19">
        <f t="shared" si="5"/>
        <v>0.93604651162790697</v>
      </c>
      <c r="L43" s="18">
        <f>SUMIFS(Fact_Weekly!$E$2:$E$1500,Fact_Weekly!$B$2:$B$1500,$A43,Fact_Weekly!$C$2:$C$1500,$B43,Fact_Weekly!$A$2:$A$1500,"&gt;="&amp;(Assumptions!$B$12-Assumptions!$B$11+1))</f>
        <v>52</v>
      </c>
      <c r="M43" s="42">
        <f>L43/Assumptions!$B$11</f>
        <v>13</v>
      </c>
      <c r="N43" s="18">
        <f>COUNTIFS(Fact_Weekly!$B$2:$B$1500,$A43,Fact_Weekly!$C$2:$C$1500,$B43,Fact_Weekly!$G$2:$G$1500,"&gt;0")</f>
        <v>12</v>
      </c>
      <c r="O43" s="42">
        <f t="shared" si="6"/>
        <v>13.416666666666666</v>
      </c>
      <c r="P43" s="42">
        <f>IF(M43&gt;0,J43/M43,IF(J43&gt;0,Assumptions!$B$12,0))</f>
        <v>0.84615384615384615</v>
      </c>
      <c r="Q43" s="21">
        <f>IF(AND(N43&lt;Assumptions!$B$12,K43&gt;=0.99),1,0)</f>
        <v>0</v>
      </c>
      <c r="R43" s="42">
        <f t="shared" si="3"/>
        <v>13</v>
      </c>
      <c r="S43" s="42">
        <f>IF(Q43=1,(Assumptions!$B$12-N43)*(H43/Assumptions!$B$12),0)</f>
        <v>0</v>
      </c>
      <c r="T43" s="20">
        <f>S43*G43</f>
        <v>0</v>
      </c>
      <c r="U43" s="21">
        <f>IF(OR(K43&gt;=Assumptions!$B$5,Q43=1,AND(F43="Core",P43&lt;Assumptions!$B$7)),1,0)</f>
        <v>1</v>
      </c>
      <c r="V43" s="21">
        <f>IF(AND(F43="Seasonal",K43&lt;Assumptions!$B$6,P43&gt;Assumptions!$B$8),1,0)</f>
        <v>0</v>
      </c>
      <c r="W43" s="18">
        <f>IF(U43=1,ROUND(MAX(0,Assumptions!$B$9*R43-J43),0),0)</f>
        <v>67</v>
      </c>
      <c r="X43" s="44" t="str">
        <f t="shared" si="7"/>
        <v>Reorder / replenish</v>
      </c>
    </row>
    <row r="44" spans="1:24" x14ac:dyDescent="0.35">
      <c r="A44" s="43" t="s">
        <v>126</v>
      </c>
      <c r="B44" s="22" t="s">
        <v>66</v>
      </c>
      <c r="C44" s="40" t="str">
        <f>INDEX(Dim_Product!$B:B, MATCH($A44,Dim_Product!$A:$A,0))</f>
        <v>Roll-Neck Jumper</v>
      </c>
      <c r="D44" s="40" t="str">
        <f>INDEX(Dim_Product!$D:D, MATCH($A44,Dim_Product!$A:$A,0))</f>
        <v>Knitwear</v>
      </c>
      <c r="E44" s="40" t="str">
        <f>INDEX(Dim_Product!$E:E, MATCH($A44,Dim_Product!$A:$A,0))</f>
        <v>Rust</v>
      </c>
      <c r="F44" s="40" t="str">
        <f>INDEX(Dim_Product!$F:F, MATCH($A44,Dim_Product!$A:$A,0))</f>
        <v>Core</v>
      </c>
      <c r="G44" s="41">
        <f>INDEX(Dim_Product!$G:G, MATCH($A44,Dim_Product!$A:$A,0))</f>
        <v>34.99</v>
      </c>
      <c r="H44" s="18">
        <f>SUMIFS(Fact_Weekly!$D$2:$D$1500,Fact_Weekly!$B$2:$B$1500,$A44,Fact_Weekly!$C$2:$C$1500,$B44)</f>
        <v>97</v>
      </c>
      <c r="I44" s="18">
        <f>SUMIFS(Fact_Weekly!$E$2:$E$1500,Fact_Weekly!$B$2:$B$1500,$A44,Fact_Weekly!$C$2:$C$1500,$B44)</f>
        <v>97</v>
      </c>
      <c r="J44" s="18">
        <f t="shared" si="0"/>
        <v>0</v>
      </c>
      <c r="K44" s="19">
        <f t="shared" si="5"/>
        <v>1</v>
      </c>
      <c r="L44" s="18">
        <f>SUMIFS(Fact_Weekly!$E$2:$E$1500,Fact_Weekly!$B$2:$B$1500,$A44,Fact_Weekly!$C$2:$C$1500,$B44,Fact_Weekly!$A$2:$A$1500,"&gt;="&amp;(Assumptions!$B$12-Assumptions!$B$11+1))</f>
        <v>35</v>
      </c>
      <c r="M44" s="42">
        <f>L44/Assumptions!$B$11</f>
        <v>8.75</v>
      </c>
      <c r="N44" s="18">
        <f>COUNTIFS(Fact_Weekly!$B$2:$B$1500,$A44,Fact_Weekly!$C$2:$C$1500,$B44,Fact_Weekly!$G$2:$G$1500,"&gt;0")</f>
        <v>11</v>
      </c>
      <c r="O44" s="42">
        <f t="shared" si="6"/>
        <v>8.8181818181818183</v>
      </c>
      <c r="P44" s="42">
        <f>IF(M44&gt;0,J44/M44,IF(J44&gt;0,Assumptions!$B$12,0))</f>
        <v>0</v>
      </c>
      <c r="Q44" s="21">
        <f>IF(AND(N44&lt;Assumptions!$B$12,K44&gt;=0.99),1,0)</f>
        <v>1</v>
      </c>
      <c r="R44" s="42">
        <f t="shared" si="3"/>
        <v>8.8181818181818183</v>
      </c>
      <c r="S44" s="42">
        <f>IF(Q44=1,(Assumptions!$B$12-N44)*(H44/Assumptions!$B$12),0)</f>
        <v>8.0833333333333339</v>
      </c>
      <c r="T44" s="20">
        <f>S44*G44</f>
        <v>282.83583333333337</v>
      </c>
      <c r="U44" s="21">
        <f>IF(OR(K44&gt;=Assumptions!$B$5,Q44=1,AND(F44="Core",P44&lt;Assumptions!$B$7)),1,0)</f>
        <v>1</v>
      </c>
      <c r="V44" s="21">
        <f>IF(AND(F44="Seasonal",K44&lt;Assumptions!$B$6,P44&gt;Assumptions!$B$8),1,0)</f>
        <v>0</v>
      </c>
      <c r="W44" s="18">
        <f>IF(U44=1,ROUND(MAX(0,Assumptions!$B$9*R44-J44),0),0)</f>
        <v>53</v>
      </c>
      <c r="X44" s="44" t="str">
        <f t="shared" si="7"/>
        <v>Reorder - recover lost sales</v>
      </c>
    </row>
    <row r="45" spans="1:24" x14ac:dyDescent="0.35">
      <c r="A45" s="43" t="s">
        <v>126</v>
      </c>
      <c r="B45" s="22" t="s">
        <v>68</v>
      </c>
      <c r="C45" s="40" t="str">
        <f>INDEX(Dim_Product!$B:B, MATCH($A45,Dim_Product!$A:$A,0))</f>
        <v>Roll-Neck Jumper</v>
      </c>
      <c r="D45" s="40" t="str">
        <f>INDEX(Dim_Product!$D:D, MATCH($A45,Dim_Product!$A:$A,0))</f>
        <v>Knitwear</v>
      </c>
      <c r="E45" s="40" t="str">
        <f>INDEX(Dim_Product!$E:E, MATCH($A45,Dim_Product!$A:$A,0))</f>
        <v>Rust</v>
      </c>
      <c r="F45" s="40" t="str">
        <f>INDEX(Dim_Product!$F:F, MATCH($A45,Dim_Product!$A:$A,0))</f>
        <v>Core</v>
      </c>
      <c r="G45" s="41">
        <f>INDEX(Dim_Product!$G:G, MATCH($A45,Dim_Product!$A:$A,0))</f>
        <v>34.99</v>
      </c>
      <c r="H45" s="18">
        <f>SUMIFS(Fact_Weekly!$D$2:$D$1500,Fact_Weekly!$B$2:$B$1500,$A45,Fact_Weekly!$C$2:$C$1500,$B45)</f>
        <v>132</v>
      </c>
      <c r="I45" s="18">
        <f>SUMIFS(Fact_Weekly!$E$2:$E$1500,Fact_Weekly!$B$2:$B$1500,$A45,Fact_Weekly!$C$2:$C$1500,$B45)</f>
        <v>132</v>
      </c>
      <c r="J45" s="18">
        <f t="shared" si="0"/>
        <v>0</v>
      </c>
      <c r="K45" s="19">
        <f t="shared" si="5"/>
        <v>1</v>
      </c>
      <c r="L45" s="18">
        <f>SUMIFS(Fact_Weekly!$E$2:$E$1500,Fact_Weekly!$B$2:$B$1500,$A45,Fact_Weekly!$C$2:$C$1500,$B45,Fact_Weekly!$A$2:$A$1500,"&gt;="&amp;(Assumptions!$B$12-Assumptions!$B$11+1))</f>
        <v>35</v>
      </c>
      <c r="M45" s="42">
        <f>L45/Assumptions!$B$11</f>
        <v>8.75</v>
      </c>
      <c r="N45" s="18">
        <f>COUNTIFS(Fact_Weekly!$B$2:$B$1500,$A45,Fact_Weekly!$C$2:$C$1500,$B45,Fact_Weekly!$G$2:$G$1500,"&gt;0")</f>
        <v>10</v>
      </c>
      <c r="O45" s="42">
        <f t="shared" si="6"/>
        <v>13.2</v>
      </c>
      <c r="P45" s="42">
        <f>IF(M45&gt;0,J45/M45,IF(J45&gt;0,Assumptions!$B$12,0))</f>
        <v>0</v>
      </c>
      <c r="Q45" s="21">
        <f>IF(AND(N45&lt;Assumptions!$B$12,K45&gt;=0.99),1,0)</f>
        <v>1</v>
      </c>
      <c r="R45" s="42">
        <f t="shared" si="3"/>
        <v>13.2</v>
      </c>
      <c r="S45" s="42">
        <f>IF(Q45=1,(Assumptions!$B$12-N45)*(H45/Assumptions!$B$12),0)</f>
        <v>22</v>
      </c>
      <c r="T45" s="20">
        <f>S45*G45</f>
        <v>769.78000000000009</v>
      </c>
      <c r="U45" s="21">
        <f>IF(OR(K45&gt;=Assumptions!$B$5,Q45=1,AND(F45="Core",P45&lt;Assumptions!$B$7)),1,0)</f>
        <v>1</v>
      </c>
      <c r="V45" s="21">
        <f>IF(AND(F45="Seasonal",K45&lt;Assumptions!$B$6,P45&gt;Assumptions!$B$8),1,0)</f>
        <v>0</v>
      </c>
      <c r="W45" s="18">
        <f>IF(U45=1,ROUND(MAX(0,Assumptions!$B$9*R45-J45),0),0)</f>
        <v>79</v>
      </c>
      <c r="X45" s="44" t="str">
        <f t="shared" si="7"/>
        <v>Reorder - recover lost sales</v>
      </c>
    </row>
    <row r="46" spans="1:24" x14ac:dyDescent="0.35">
      <c r="A46" s="43" t="s">
        <v>128</v>
      </c>
      <c r="B46" s="22" t="s">
        <v>62</v>
      </c>
      <c r="C46" s="40" t="str">
        <f>INDEX(Dim_Product!$B:B, MATCH($A46,Dim_Product!$A:$A,0))</f>
        <v>Floral Midi Dress</v>
      </c>
      <c r="D46" s="40" t="str">
        <f>INDEX(Dim_Product!$D:D, MATCH($A46,Dim_Product!$A:$A,0))</f>
        <v>Dresses</v>
      </c>
      <c r="E46" s="40" t="str">
        <f>INDEX(Dim_Product!$E:E, MATCH($A46,Dim_Product!$A:$A,0))</f>
        <v>Blue Floral</v>
      </c>
      <c r="F46" s="40" t="str">
        <f>INDEX(Dim_Product!$F:F, MATCH($A46,Dim_Product!$A:$A,0))</f>
        <v>Seasonal</v>
      </c>
      <c r="G46" s="41">
        <f>INDEX(Dim_Product!$G:G, MATCH($A46,Dim_Product!$A:$A,0))</f>
        <v>49.99</v>
      </c>
      <c r="H46" s="18">
        <f>SUMIFS(Fact_Weekly!$D$2:$D$1500,Fact_Weekly!$B$2:$B$1500,$A46,Fact_Weekly!$C$2:$C$1500,$B46)</f>
        <v>100</v>
      </c>
      <c r="I46" s="18">
        <f>SUMIFS(Fact_Weekly!$E$2:$E$1500,Fact_Weekly!$B$2:$B$1500,$A46,Fact_Weekly!$C$2:$C$1500,$B46)</f>
        <v>100</v>
      </c>
      <c r="J46" s="18">
        <f t="shared" si="0"/>
        <v>0</v>
      </c>
      <c r="K46" s="19">
        <f t="shared" si="5"/>
        <v>1</v>
      </c>
      <c r="L46" s="18">
        <f>SUMIFS(Fact_Weekly!$E$2:$E$1500,Fact_Weekly!$B$2:$B$1500,$A46,Fact_Weekly!$C$2:$C$1500,$B46,Fact_Weekly!$A$2:$A$1500,"&gt;="&amp;(Assumptions!$B$12-Assumptions!$B$11+1))</f>
        <v>0</v>
      </c>
      <c r="M46" s="42">
        <f>L46/Assumptions!$B$11</f>
        <v>0</v>
      </c>
      <c r="N46" s="18">
        <f>COUNTIFS(Fact_Weekly!$B$2:$B$1500,$A46,Fact_Weekly!$C$2:$C$1500,$B46,Fact_Weekly!$G$2:$G$1500,"&gt;0")</f>
        <v>4</v>
      </c>
      <c r="O46" s="42">
        <f t="shared" si="6"/>
        <v>25</v>
      </c>
      <c r="P46" s="42">
        <f>IF(M46&gt;0,J46/M46,IF(J46&gt;0,Assumptions!$B$12,0))</f>
        <v>0</v>
      </c>
      <c r="Q46" s="21">
        <f>IF(AND(N46&lt;Assumptions!$B$12,K46&gt;=0.99),1,0)</f>
        <v>1</v>
      </c>
      <c r="R46" s="42">
        <f t="shared" si="3"/>
        <v>25</v>
      </c>
      <c r="S46" s="42">
        <f>IF(Q46=1,(Assumptions!$B$12-N46)*(H46/Assumptions!$B$12),0)</f>
        <v>66.666666666666671</v>
      </c>
      <c r="T46" s="20">
        <f>S46*G46</f>
        <v>3332.666666666667</v>
      </c>
      <c r="U46" s="21">
        <f>IF(OR(K46&gt;=Assumptions!$B$5,Q46=1,AND(F46="Core",P46&lt;Assumptions!$B$7)),1,0)</f>
        <v>1</v>
      </c>
      <c r="V46" s="21">
        <f>IF(AND(F46="Seasonal",K46&lt;Assumptions!$B$6,P46&gt;Assumptions!$B$8),1,0)</f>
        <v>0</v>
      </c>
      <c r="W46" s="18">
        <f>IF(U46=1,ROUND(MAX(0,Assumptions!$B$9*R46-J46),0),0)</f>
        <v>150</v>
      </c>
      <c r="X46" s="44" t="str">
        <f t="shared" si="7"/>
        <v>Reorder - recover lost sales</v>
      </c>
    </row>
    <row r="47" spans="1:24" x14ac:dyDescent="0.35">
      <c r="A47" s="43" t="s">
        <v>128</v>
      </c>
      <c r="B47" s="22" t="s">
        <v>64</v>
      </c>
      <c r="C47" s="40" t="str">
        <f>INDEX(Dim_Product!$B:B, MATCH($A47,Dim_Product!$A:$A,0))</f>
        <v>Floral Midi Dress</v>
      </c>
      <c r="D47" s="40" t="str">
        <f>INDEX(Dim_Product!$D:D, MATCH($A47,Dim_Product!$A:$A,0))</f>
        <v>Dresses</v>
      </c>
      <c r="E47" s="40" t="str">
        <f>INDEX(Dim_Product!$E:E, MATCH($A47,Dim_Product!$A:$A,0))</f>
        <v>Blue Floral</v>
      </c>
      <c r="F47" s="40" t="str">
        <f>INDEX(Dim_Product!$F:F, MATCH($A47,Dim_Product!$A:$A,0))</f>
        <v>Seasonal</v>
      </c>
      <c r="G47" s="41">
        <f>INDEX(Dim_Product!$G:G, MATCH($A47,Dim_Product!$A:$A,0))</f>
        <v>49.99</v>
      </c>
      <c r="H47" s="18">
        <f>SUMIFS(Fact_Weekly!$D$2:$D$1500,Fact_Weekly!$B$2:$B$1500,$A47,Fact_Weekly!$C$2:$C$1500,$B47)</f>
        <v>127</v>
      </c>
      <c r="I47" s="18">
        <f>SUMIFS(Fact_Weekly!$E$2:$E$1500,Fact_Weekly!$B$2:$B$1500,$A47,Fact_Weekly!$C$2:$C$1500,$B47)</f>
        <v>127</v>
      </c>
      <c r="J47" s="18">
        <f t="shared" si="0"/>
        <v>0</v>
      </c>
      <c r="K47" s="19">
        <f t="shared" si="5"/>
        <v>1</v>
      </c>
      <c r="L47" s="18">
        <f>SUMIFS(Fact_Weekly!$E$2:$E$1500,Fact_Weekly!$B$2:$B$1500,$A47,Fact_Weekly!$C$2:$C$1500,$B47,Fact_Weekly!$A$2:$A$1500,"&gt;="&amp;(Assumptions!$B$12-Assumptions!$B$11+1))</f>
        <v>0</v>
      </c>
      <c r="M47" s="42">
        <f>L47/Assumptions!$B$11</f>
        <v>0</v>
      </c>
      <c r="N47" s="18">
        <f>COUNTIFS(Fact_Weekly!$B$2:$B$1500,$A47,Fact_Weekly!$C$2:$C$1500,$B47,Fact_Weekly!$G$2:$G$1500,"&gt;0")</f>
        <v>4</v>
      </c>
      <c r="O47" s="42">
        <f t="shared" si="6"/>
        <v>31.75</v>
      </c>
      <c r="P47" s="42">
        <f>IF(M47&gt;0,J47/M47,IF(J47&gt;0,Assumptions!$B$12,0))</f>
        <v>0</v>
      </c>
      <c r="Q47" s="21">
        <f>IF(AND(N47&lt;Assumptions!$B$12,K47&gt;=0.99),1,0)</f>
        <v>1</v>
      </c>
      <c r="R47" s="42">
        <f t="shared" si="3"/>
        <v>31.75</v>
      </c>
      <c r="S47" s="42">
        <f>IF(Q47=1,(Assumptions!$B$12-N47)*(H47/Assumptions!$B$12),0)</f>
        <v>84.666666666666671</v>
      </c>
      <c r="T47" s="20">
        <f>S47*G47</f>
        <v>4232.4866666666667</v>
      </c>
      <c r="U47" s="21">
        <f>IF(OR(K47&gt;=Assumptions!$B$5,Q47=1,AND(F47="Core",P47&lt;Assumptions!$B$7)),1,0)</f>
        <v>1</v>
      </c>
      <c r="V47" s="21">
        <f>IF(AND(F47="Seasonal",K47&lt;Assumptions!$B$6,P47&gt;Assumptions!$B$8),1,0)</f>
        <v>0</v>
      </c>
      <c r="W47" s="18">
        <f>IF(U47=1,ROUND(MAX(0,Assumptions!$B$9*R47-J47),0),0)</f>
        <v>191</v>
      </c>
      <c r="X47" s="44" t="str">
        <f t="shared" si="7"/>
        <v>Reorder - recover lost sales</v>
      </c>
    </row>
    <row r="48" spans="1:24" x14ac:dyDescent="0.35">
      <c r="A48" s="43" t="s">
        <v>128</v>
      </c>
      <c r="B48" s="22" t="s">
        <v>66</v>
      </c>
      <c r="C48" s="40" t="str">
        <f>INDEX(Dim_Product!$B:B, MATCH($A48,Dim_Product!$A:$A,0))</f>
        <v>Floral Midi Dress</v>
      </c>
      <c r="D48" s="40" t="str">
        <f>INDEX(Dim_Product!$D:D, MATCH($A48,Dim_Product!$A:$A,0))</f>
        <v>Dresses</v>
      </c>
      <c r="E48" s="40" t="str">
        <f>INDEX(Dim_Product!$E:E, MATCH($A48,Dim_Product!$A:$A,0))</f>
        <v>Blue Floral</v>
      </c>
      <c r="F48" s="40" t="str">
        <f>INDEX(Dim_Product!$F:F, MATCH($A48,Dim_Product!$A:$A,0))</f>
        <v>Seasonal</v>
      </c>
      <c r="G48" s="41">
        <f>INDEX(Dim_Product!$G:G, MATCH($A48,Dim_Product!$A:$A,0))</f>
        <v>49.99</v>
      </c>
      <c r="H48" s="18">
        <f>SUMIFS(Fact_Weekly!$D$2:$D$1500,Fact_Weekly!$B$2:$B$1500,$A48,Fact_Weekly!$C$2:$C$1500,$B48)</f>
        <v>82</v>
      </c>
      <c r="I48" s="18">
        <f>SUMIFS(Fact_Weekly!$E$2:$E$1500,Fact_Weekly!$B$2:$B$1500,$A48,Fact_Weekly!$C$2:$C$1500,$B48)</f>
        <v>82</v>
      </c>
      <c r="J48" s="18">
        <f t="shared" si="0"/>
        <v>0</v>
      </c>
      <c r="K48" s="19">
        <f t="shared" si="5"/>
        <v>1</v>
      </c>
      <c r="L48" s="18">
        <f>SUMIFS(Fact_Weekly!$E$2:$E$1500,Fact_Weekly!$B$2:$B$1500,$A48,Fact_Weekly!$C$2:$C$1500,$B48,Fact_Weekly!$A$2:$A$1500,"&gt;="&amp;(Assumptions!$B$12-Assumptions!$B$11+1))</f>
        <v>0</v>
      </c>
      <c r="M48" s="42">
        <f>L48/Assumptions!$B$11</f>
        <v>0</v>
      </c>
      <c r="N48" s="18">
        <f>COUNTIFS(Fact_Weekly!$B$2:$B$1500,$A48,Fact_Weekly!$C$2:$C$1500,$B48,Fact_Weekly!$G$2:$G$1500,"&gt;0")</f>
        <v>4</v>
      </c>
      <c r="O48" s="42">
        <f t="shared" si="6"/>
        <v>20.5</v>
      </c>
      <c r="P48" s="42">
        <f>IF(M48&gt;0,J48/M48,IF(J48&gt;0,Assumptions!$B$12,0))</f>
        <v>0</v>
      </c>
      <c r="Q48" s="21">
        <f>IF(AND(N48&lt;Assumptions!$B$12,K48&gt;=0.99),1,0)</f>
        <v>1</v>
      </c>
      <c r="R48" s="42">
        <f t="shared" si="3"/>
        <v>20.5</v>
      </c>
      <c r="S48" s="42">
        <f>IF(Q48=1,(Assumptions!$B$12-N48)*(H48/Assumptions!$B$12),0)</f>
        <v>54.666666666666664</v>
      </c>
      <c r="T48" s="20">
        <f>S48*G48</f>
        <v>2732.7866666666669</v>
      </c>
      <c r="U48" s="21">
        <f>IF(OR(K48&gt;=Assumptions!$B$5,Q48=1,AND(F48="Core",P48&lt;Assumptions!$B$7)),1,0)</f>
        <v>1</v>
      </c>
      <c r="V48" s="21">
        <f>IF(AND(F48="Seasonal",K48&lt;Assumptions!$B$6,P48&gt;Assumptions!$B$8),1,0)</f>
        <v>0</v>
      </c>
      <c r="W48" s="18">
        <f>IF(U48=1,ROUND(MAX(0,Assumptions!$B$9*R48-J48),0),0)</f>
        <v>123</v>
      </c>
      <c r="X48" s="44" t="str">
        <f t="shared" si="7"/>
        <v>Reorder - recover lost sales</v>
      </c>
    </row>
    <row r="49" spans="1:24" x14ac:dyDescent="0.35">
      <c r="A49" s="43" t="s">
        <v>128</v>
      </c>
      <c r="B49" s="22" t="s">
        <v>68</v>
      </c>
      <c r="C49" s="40" t="str">
        <f>INDEX(Dim_Product!$B:B, MATCH($A49,Dim_Product!$A:$A,0))</f>
        <v>Floral Midi Dress</v>
      </c>
      <c r="D49" s="40" t="str">
        <f>INDEX(Dim_Product!$D:D, MATCH($A49,Dim_Product!$A:$A,0))</f>
        <v>Dresses</v>
      </c>
      <c r="E49" s="40" t="str">
        <f>INDEX(Dim_Product!$E:E, MATCH($A49,Dim_Product!$A:$A,0))</f>
        <v>Blue Floral</v>
      </c>
      <c r="F49" s="40" t="str">
        <f>INDEX(Dim_Product!$F:F, MATCH($A49,Dim_Product!$A:$A,0))</f>
        <v>Seasonal</v>
      </c>
      <c r="G49" s="41">
        <f>INDEX(Dim_Product!$G:G, MATCH($A49,Dim_Product!$A:$A,0))</f>
        <v>49.99</v>
      </c>
      <c r="H49" s="18">
        <f>SUMIFS(Fact_Weekly!$D$2:$D$1500,Fact_Weekly!$B$2:$B$1500,$A49,Fact_Weekly!$C$2:$C$1500,$B49)</f>
        <v>127</v>
      </c>
      <c r="I49" s="18">
        <f>SUMIFS(Fact_Weekly!$E$2:$E$1500,Fact_Weekly!$B$2:$B$1500,$A49,Fact_Weekly!$C$2:$C$1500,$B49)</f>
        <v>127</v>
      </c>
      <c r="J49" s="18">
        <f t="shared" si="0"/>
        <v>0</v>
      </c>
      <c r="K49" s="19">
        <f t="shared" si="5"/>
        <v>1</v>
      </c>
      <c r="L49" s="18">
        <f>SUMIFS(Fact_Weekly!$E$2:$E$1500,Fact_Weekly!$B$2:$B$1500,$A49,Fact_Weekly!$C$2:$C$1500,$B49,Fact_Weekly!$A$2:$A$1500,"&gt;="&amp;(Assumptions!$B$12-Assumptions!$B$11+1))</f>
        <v>0</v>
      </c>
      <c r="M49" s="42">
        <f>L49/Assumptions!$B$11</f>
        <v>0</v>
      </c>
      <c r="N49" s="18">
        <f>COUNTIFS(Fact_Weekly!$B$2:$B$1500,$A49,Fact_Weekly!$C$2:$C$1500,$B49,Fact_Weekly!$G$2:$G$1500,"&gt;0")</f>
        <v>4</v>
      </c>
      <c r="O49" s="42">
        <f t="shared" si="6"/>
        <v>31.75</v>
      </c>
      <c r="P49" s="42">
        <f>IF(M49&gt;0,J49/M49,IF(J49&gt;0,Assumptions!$B$12,0))</f>
        <v>0</v>
      </c>
      <c r="Q49" s="21">
        <f>IF(AND(N49&lt;Assumptions!$B$12,K49&gt;=0.99),1,0)</f>
        <v>1</v>
      </c>
      <c r="R49" s="42">
        <f t="shared" si="3"/>
        <v>31.75</v>
      </c>
      <c r="S49" s="42">
        <f>IF(Q49=1,(Assumptions!$B$12-N49)*(H49/Assumptions!$B$12),0)</f>
        <v>84.666666666666671</v>
      </c>
      <c r="T49" s="20">
        <f>S49*G49</f>
        <v>4232.4866666666667</v>
      </c>
      <c r="U49" s="21">
        <f>IF(OR(K49&gt;=Assumptions!$B$5,Q49=1,AND(F49="Core",P49&lt;Assumptions!$B$7)),1,0)</f>
        <v>1</v>
      </c>
      <c r="V49" s="21">
        <f>IF(AND(F49="Seasonal",K49&lt;Assumptions!$B$6,P49&gt;Assumptions!$B$8),1,0)</f>
        <v>0</v>
      </c>
      <c r="W49" s="18">
        <f>IF(U49=1,ROUND(MAX(0,Assumptions!$B$9*R49-J49),0),0)</f>
        <v>191</v>
      </c>
      <c r="X49" s="44" t="str">
        <f t="shared" si="7"/>
        <v>Reorder - recover lost sales</v>
      </c>
    </row>
    <row r="50" spans="1:24" x14ac:dyDescent="0.35">
      <c r="A50" s="43" t="s">
        <v>133</v>
      </c>
      <c r="B50" s="22" t="s">
        <v>62</v>
      </c>
      <c r="C50" s="40" t="str">
        <f>INDEX(Dim_Product!$B:B, MATCH($A50,Dim_Product!$A:$A,0))</f>
        <v>Floral Midi Dress</v>
      </c>
      <c r="D50" s="40" t="str">
        <f>INDEX(Dim_Product!$D:D, MATCH($A50,Dim_Product!$A:$A,0))</f>
        <v>Dresses</v>
      </c>
      <c r="E50" s="40" t="str">
        <f>INDEX(Dim_Product!$E:E, MATCH($A50,Dim_Product!$A:$A,0))</f>
        <v>Pink Floral</v>
      </c>
      <c r="F50" s="40" t="str">
        <f>INDEX(Dim_Product!$F:F, MATCH($A50,Dim_Product!$A:$A,0))</f>
        <v>Seasonal</v>
      </c>
      <c r="G50" s="41">
        <f>INDEX(Dim_Product!$G:G, MATCH($A50,Dim_Product!$A:$A,0))</f>
        <v>49.99</v>
      </c>
      <c r="H50" s="18">
        <f>SUMIFS(Fact_Weekly!$D$2:$D$1500,Fact_Weekly!$B$2:$B$1500,$A50,Fact_Weekly!$C$2:$C$1500,$B50)</f>
        <v>142</v>
      </c>
      <c r="I50" s="18">
        <f>SUMIFS(Fact_Weekly!$E$2:$E$1500,Fact_Weekly!$B$2:$B$1500,$A50,Fact_Weekly!$C$2:$C$1500,$B50)</f>
        <v>142</v>
      </c>
      <c r="J50" s="18">
        <f t="shared" si="0"/>
        <v>0</v>
      </c>
      <c r="K50" s="19">
        <f t="shared" si="5"/>
        <v>1</v>
      </c>
      <c r="L50" s="18">
        <f>SUMIFS(Fact_Weekly!$E$2:$E$1500,Fact_Weekly!$B$2:$B$1500,$A50,Fact_Weekly!$C$2:$C$1500,$B50,Fact_Weekly!$A$2:$A$1500,"&gt;="&amp;(Assumptions!$B$12-Assumptions!$B$11+1))</f>
        <v>0</v>
      </c>
      <c r="M50" s="42">
        <f>L50/Assumptions!$B$11</f>
        <v>0</v>
      </c>
      <c r="N50" s="18">
        <f>COUNTIFS(Fact_Weekly!$B$2:$B$1500,$A50,Fact_Weekly!$C$2:$C$1500,$B50,Fact_Weekly!$G$2:$G$1500,"&gt;0")</f>
        <v>4</v>
      </c>
      <c r="O50" s="42">
        <f t="shared" si="6"/>
        <v>35.5</v>
      </c>
      <c r="P50" s="42">
        <f>IF(M50&gt;0,J50/M50,IF(J50&gt;0,Assumptions!$B$12,0))</f>
        <v>0</v>
      </c>
      <c r="Q50" s="21">
        <f>IF(AND(N50&lt;Assumptions!$B$12,K50&gt;=0.99),1,0)</f>
        <v>1</v>
      </c>
      <c r="R50" s="42">
        <f t="shared" si="3"/>
        <v>35.5</v>
      </c>
      <c r="S50" s="42">
        <f>IF(Q50=1,(Assumptions!$B$12-N50)*(H50/Assumptions!$B$12),0)</f>
        <v>94.666666666666671</v>
      </c>
      <c r="T50" s="20">
        <f>S50*G50</f>
        <v>4732.3866666666672</v>
      </c>
      <c r="U50" s="21">
        <f>IF(OR(K50&gt;=Assumptions!$B$5,Q50=1,AND(F50="Core",P50&lt;Assumptions!$B$7)),1,0)</f>
        <v>1</v>
      </c>
      <c r="V50" s="21">
        <f>IF(AND(F50="Seasonal",K50&lt;Assumptions!$B$6,P50&gt;Assumptions!$B$8),1,0)</f>
        <v>0</v>
      </c>
      <c r="W50" s="18">
        <f>IF(U50=1,ROUND(MAX(0,Assumptions!$B$9*R50-J50),0),0)</f>
        <v>213</v>
      </c>
      <c r="X50" s="44" t="str">
        <f t="shared" si="7"/>
        <v>Reorder - recover lost sales</v>
      </c>
    </row>
    <row r="51" spans="1:24" x14ac:dyDescent="0.35">
      <c r="A51" s="43" t="s">
        <v>133</v>
      </c>
      <c r="B51" s="22" t="s">
        <v>64</v>
      </c>
      <c r="C51" s="40" t="str">
        <f>INDEX(Dim_Product!$B:B, MATCH($A51,Dim_Product!$A:$A,0))</f>
        <v>Floral Midi Dress</v>
      </c>
      <c r="D51" s="40" t="str">
        <f>INDEX(Dim_Product!$D:D, MATCH($A51,Dim_Product!$A:$A,0))</f>
        <v>Dresses</v>
      </c>
      <c r="E51" s="40" t="str">
        <f>INDEX(Dim_Product!$E:E, MATCH($A51,Dim_Product!$A:$A,0))</f>
        <v>Pink Floral</v>
      </c>
      <c r="F51" s="40" t="str">
        <f>INDEX(Dim_Product!$F:F, MATCH($A51,Dim_Product!$A:$A,0))</f>
        <v>Seasonal</v>
      </c>
      <c r="G51" s="41">
        <f>INDEX(Dim_Product!$G:G, MATCH($A51,Dim_Product!$A:$A,0))</f>
        <v>49.99</v>
      </c>
      <c r="H51" s="18">
        <f>SUMIFS(Fact_Weekly!$D$2:$D$1500,Fact_Weekly!$B$2:$B$1500,$A51,Fact_Weekly!$C$2:$C$1500,$B51)</f>
        <v>187</v>
      </c>
      <c r="I51" s="18">
        <f>SUMIFS(Fact_Weekly!$E$2:$E$1500,Fact_Weekly!$B$2:$B$1500,$A51,Fact_Weekly!$C$2:$C$1500,$B51)</f>
        <v>187</v>
      </c>
      <c r="J51" s="18">
        <f t="shared" si="0"/>
        <v>0</v>
      </c>
      <c r="K51" s="19">
        <f t="shared" si="5"/>
        <v>1</v>
      </c>
      <c r="L51" s="18">
        <f>SUMIFS(Fact_Weekly!$E$2:$E$1500,Fact_Weekly!$B$2:$B$1500,$A51,Fact_Weekly!$C$2:$C$1500,$B51,Fact_Weekly!$A$2:$A$1500,"&gt;="&amp;(Assumptions!$B$12-Assumptions!$B$11+1))</f>
        <v>0</v>
      </c>
      <c r="M51" s="42">
        <f>L51/Assumptions!$B$11</f>
        <v>0</v>
      </c>
      <c r="N51" s="18">
        <f>COUNTIFS(Fact_Weekly!$B$2:$B$1500,$A51,Fact_Weekly!$C$2:$C$1500,$B51,Fact_Weekly!$G$2:$G$1500,"&gt;0")</f>
        <v>3</v>
      </c>
      <c r="O51" s="42">
        <f t="shared" si="6"/>
        <v>62.333333333333336</v>
      </c>
      <c r="P51" s="42">
        <f>IF(M51&gt;0,J51/M51,IF(J51&gt;0,Assumptions!$B$12,0))</f>
        <v>0</v>
      </c>
      <c r="Q51" s="21">
        <f>IF(AND(N51&lt;Assumptions!$B$12,K51&gt;=0.99),1,0)</f>
        <v>1</v>
      </c>
      <c r="R51" s="42">
        <f t="shared" si="3"/>
        <v>62.333333333333336</v>
      </c>
      <c r="S51" s="42">
        <f>IF(Q51=1,(Assumptions!$B$12-N51)*(H51/Assumptions!$B$12),0)</f>
        <v>140.25</v>
      </c>
      <c r="T51" s="20">
        <f>S51*G51</f>
        <v>7011.0974999999999</v>
      </c>
      <c r="U51" s="21">
        <f>IF(OR(K51&gt;=Assumptions!$B$5,Q51=1,AND(F51="Core",P51&lt;Assumptions!$B$7)),1,0)</f>
        <v>1</v>
      </c>
      <c r="V51" s="21">
        <f>IF(AND(F51="Seasonal",K51&lt;Assumptions!$B$6,P51&gt;Assumptions!$B$8),1,0)</f>
        <v>0</v>
      </c>
      <c r="W51" s="18">
        <f>IF(U51=1,ROUND(MAX(0,Assumptions!$B$9*R51-J51),0),0)</f>
        <v>374</v>
      </c>
      <c r="X51" s="44" t="str">
        <f t="shared" si="7"/>
        <v>Reorder - recover lost sales</v>
      </c>
    </row>
    <row r="52" spans="1:24" x14ac:dyDescent="0.35">
      <c r="A52" s="43" t="s">
        <v>133</v>
      </c>
      <c r="B52" s="22" t="s">
        <v>66</v>
      </c>
      <c r="C52" s="40" t="str">
        <f>INDEX(Dim_Product!$B:B, MATCH($A52,Dim_Product!$A:$A,0))</f>
        <v>Floral Midi Dress</v>
      </c>
      <c r="D52" s="40" t="str">
        <f>INDEX(Dim_Product!$D:D, MATCH($A52,Dim_Product!$A:$A,0))</f>
        <v>Dresses</v>
      </c>
      <c r="E52" s="40" t="str">
        <f>INDEX(Dim_Product!$E:E, MATCH($A52,Dim_Product!$A:$A,0))</f>
        <v>Pink Floral</v>
      </c>
      <c r="F52" s="40" t="str">
        <f>INDEX(Dim_Product!$F:F, MATCH($A52,Dim_Product!$A:$A,0))</f>
        <v>Seasonal</v>
      </c>
      <c r="G52" s="41">
        <f>INDEX(Dim_Product!$G:G, MATCH($A52,Dim_Product!$A:$A,0))</f>
        <v>49.99</v>
      </c>
      <c r="H52" s="18">
        <f>SUMIFS(Fact_Weekly!$D$2:$D$1500,Fact_Weekly!$B$2:$B$1500,$A52,Fact_Weekly!$C$2:$C$1500,$B52)</f>
        <v>120</v>
      </c>
      <c r="I52" s="18">
        <f>SUMIFS(Fact_Weekly!$E$2:$E$1500,Fact_Weekly!$B$2:$B$1500,$A52,Fact_Weekly!$C$2:$C$1500,$B52)</f>
        <v>120</v>
      </c>
      <c r="J52" s="18">
        <f t="shared" si="0"/>
        <v>0</v>
      </c>
      <c r="K52" s="19">
        <f t="shared" si="5"/>
        <v>1</v>
      </c>
      <c r="L52" s="18">
        <f>SUMIFS(Fact_Weekly!$E$2:$E$1500,Fact_Weekly!$B$2:$B$1500,$A52,Fact_Weekly!$C$2:$C$1500,$B52,Fact_Weekly!$A$2:$A$1500,"&gt;="&amp;(Assumptions!$B$12-Assumptions!$B$11+1))</f>
        <v>0</v>
      </c>
      <c r="M52" s="42">
        <f>L52/Assumptions!$B$11</f>
        <v>0</v>
      </c>
      <c r="N52" s="18">
        <f>COUNTIFS(Fact_Weekly!$B$2:$B$1500,$A52,Fact_Weekly!$C$2:$C$1500,$B52,Fact_Weekly!$G$2:$G$1500,"&gt;0")</f>
        <v>5</v>
      </c>
      <c r="O52" s="42">
        <f t="shared" si="6"/>
        <v>24</v>
      </c>
      <c r="P52" s="42">
        <f>IF(M52&gt;0,J52/M52,IF(J52&gt;0,Assumptions!$B$12,0))</f>
        <v>0</v>
      </c>
      <c r="Q52" s="21">
        <f>IF(AND(N52&lt;Assumptions!$B$12,K52&gt;=0.99),1,0)</f>
        <v>1</v>
      </c>
      <c r="R52" s="42">
        <f t="shared" si="3"/>
        <v>24</v>
      </c>
      <c r="S52" s="42">
        <f>IF(Q52=1,(Assumptions!$B$12-N52)*(H52/Assumptions!$B$12),0)</f>
        <v>70</v>
      </c>
      <c r="T52" s="20">
        <f>S52*G52</f>
        <v>3499.3</v>
      </c>
      <c r="U52" s="21">
        <f>IF(OR(K52&gt;=Assumptions!$B$5,Q52=1,AND(F52="Core",P52&lt;Assumptions!$B$7)),1,0)</f>
        <v>1</v>
      </c>
      <c r="V52" s="21">
        <f>IF(AND(F52="Seasonal",K52&lt;Assumptions!$B$6,P52&gt;Assumptions!$B$8),1,0)</f>
        <v>0</v>
      </c>
      <c r="W52" s="18">
        <f>IF(U52=1,ROUND(MAX(0,Assumptions!$B$9*R52-J52),0),0)</f>
        <v>144</v>
      </c>
      <c r="X52" s="44" t="str">
        <f t="shared" si="7"/>
        <v>Reorder - recover lost sales</v>
      </c>
    </row>
    <row r="53" spans="1:24" x14ac:dyDescent="0.35">
      <c r="A53" s="43" t="s">
        <v>133</v>
      </c>
      <c r="B53" s="22" t="s">
        <v>68</v>
      </c>
      <c r="C53" s="40" t="str">
        <f>INDEX(Dim_Product!$B:B, MATCH($A53,Dim_Product!$A:$A,0))</f>
        <v>Floral Midi Dress</v>
      </c>
      <c r="D53" s="40" t="str">
        <f>INDEX(Dim_Product!$D:D, MATCH($A53,Dim_Product!$A:$A,0))</f>
        <v>Dresses</v>
      </c>
      <c r="E53" s="40" t="str">
        <f>INDEX(Dim_Product!$E:E, MATCH($A53,Dim_Product!$A:$A,0))</f>
        <v>Pink Floral</v>
      </c>
      <c r="F53" s="40" t="str">
        <f>INDEX(Dim_Product!$F:F, MATCH($A53,Dim_Product!$A:$A,0))</f>
        <v>Seasonal</v>
      </c>
      <c r="G53" s="41">
        <f>INDEX(Dim_Product!$G:G, MATCH($A53,Dim_Product!$A:$A,0))</f>
        <v>49.99</v>
      </c>
      <c r="H53" s="18">
        <f>SUMIFS(Fact_Weekly!$D$2:$D$1500,Fact_Weekly!$B$2:$B$1500,$A53,Fact_Weekly!$C$2:$C$1500,$B53)</f>
        <v>154</v>
      </c>
      <c r="I53" s="18">
        <f>SUMIFS(Fact_Weekly!$E$2:$E$1500,Fact_Weekly!$B$2:$B$1500,$A53,Fact_Weekly!$C$2:$C$1500,$B53)</f>
        <v>154</v>
      </c>
      <c r="J53" s="18">
        <f t="shared" si="0"/>
        <v>0</v>
      </c>
      <c r="K53" s="19">
        <f t="shared" si="5"/>
        <v>1</v>
      </c>
      <c r="L53" s="18">
        <f>SUMIFS(Fact_Weekly!$E$2:$E$1500,Fact_Weekly!$B$2:$B$1500,$A53,Fact_Weekly!$C$2:$C$1500,$B53,Fact_Weekly!$A$2:$A$1500,"&gt;="&amp;(Assumptions!$B$12-Assumptions!$B$11+1))</f>
        <v>0</v>
      </c>
      <c r="M53" s="42">
        <f>L53/Assumptions!$B$11</f>
        <v>0</v>
      </c>
      <c r="N53" s="18">
        <f>COUNTIFS(Fact_Weekly!$B$2:$B$1500,$A53,Fact_Weekly!$C$2:$C$1500,$B53,Fact_Weekly!$G$2:$G$1500,"&gt;0")</f>
        <v>3</v>
      </c>
      <c r="O53" s="42">
        <f t="shared" si="6"/>
        <v>51.333333333333336</v>
      </c>
      <c r="P53" s="42">
        <f>IF(M53&gt;0,J53/M53,IF(J53&gt;0,Assumptions!$B$12,0))</f>
        <v>0</v>
      </c>
      <c r="Q53" s="21">
        <f>IF(AND(N53&lt;Assumptions!$B$12,K53&gt;=0.99),1,0)</f>
        <v>1</v>
      </c>
      <c r="R53" s="42">
        <f t="shared" si="3"/>
        <v>51.333333333333336</v>
      </c>
      <c r="S53" s="42">
        <f>IF(Q53=1,(Assumptions!$B$12-N53)*(H53/Assumptions!$B$12),0)</f>
        <v>115.5</v>
      </c>
      <c r="T53" s="20">
        <f>S53*G53</f>
        <v>5773.8450000000003</v>
      </c>
      <c r="U53" s="21">
        <f>IF(OR(K53&gt;=Assumptions!$B$5,Q53=1,AND(F53="Core",P53&lt;Assumptions!$B$7)),1,0)</f>
        <v>1</v>
      </c>
      <c r="V53" s="21">
        <f>IF(AND(F53="Seasonal",K53&lt;Assumptions!$B$6,P53&gt;Assumptions!$B$8),1,0)</f>
        <v>0</v>
      </c>
      <c r="W53" s="18">
        <f>IF(U53=1,ROUND(MAX(0,Assumptions!$B$9*R53-J53),0),0)</f>
        <v>308</v>
      </c>
      <c r="X53" s="44" t="str">
        <f t="shared" si="7"/>
        <v>Reorder - recover lost sales</v>
      </c>
    </row>
    <row r="54" spans="1:24" x14ac:dyDescent="0.35">
      <c r="A54" s="43" t="s">
        <v>135</v>
      </c>
      <c r="B54" s="22" t="s">
        <v>62</v>
      </c>
      <c r="C54" s="40" t="str">
        <f>INDEX(Dim_Product!$B:B, MATCH($A54,Dim_Product!$A:$A,0))</f>
        <v>Satin Slip Dress</v>
      </c>
      <c r="D54" s="40" t="str">
        <f>INDEX(Dim_Product!$D:D, MATCH($A54,Dim_Product!$A:$A,0))</f>
        <v>Dresses</v>
      </c>
      <c r="E54" s="40" t="str">
        <f>INDEX(Dim_Product!$E:E, MATCH($A54,Dim_Product!$A:$A,0))</f>
        <v>Champagne</v>
      </c>
      <c r="F54" s="40" t="str">
        <f>INDEX(Dim_Product!$F:F, MATCH($A54,Dim_Product!$A:$A,0))</f>
        <v>Seasonal</v>
      </c>
      <c r="G54" s="41">
        <f>INDEX(Dim_Product!$G:G, MATCH($A54,Dim_Product!$A:$A,0))</f>
        <v>45.99</v>
      </c>
      <c r="H54" s="18">
        <f>SUMIFS(Fact_Weekly!$D$2:$D$1500,Fact_Weekly!$B$2:$B$1500,$A54,Fact_Weekly!$C$2:$C$1500,$B54)</f>
        <v>110</v>
      </c>
      <c r="I54" s="18">
        <f>SUMIFS(Fact_Weekly!$E$2:$E$1500,Fact_Weekly!$B$2:$B$1500,$A54,Fact_Weekly!$C$2:$C$1500,$B54)</f>
        <v>110</v>
      </c>
      <c r="J54" s="18">
        <f t="shared" si="0"/>
        <v>0</v>
      </c>
      <c r="K54" s="19">
        <f t="shared" si="5"/>
        <v>1</v>
      </c>
      <c r="L54" s="18">
        <f>SUMIFS(Fact_Weekly!$E$2:$E$1500,Fact_Weekly!$B$2:$B$1500,$A54,Fact_Weekly!$C$2:$C$1500,$B54,Fact_Weekly!$A$2:$A$1500,"&gt;="&amp;(Assumptions!$B$12-Assumptions!$B$11+1))</f>
        <v>0</v>
      </c>
      <c r="M54" s="42">
        <f>L54/Assumptions!$B$11</f>
        <v>0</v>
      </c>
      <c r="N54" s="18">
        <f>COUNTIFS(Fact_Weekly!$B$2:$B$1500,$A54,Fact_Weekly!$C$2:$C$1500,$B54,Fact_Weekly!$G$2:$G$1500,"&gt;0")</f>
        <v>4</v>
      </c>
      <c r="O54" s="42">
        <f t="shared" si="6"/>
        <v>27.5</v>
      </c>
      <c r="P54" s="42">
        <f>IF(M54&gt;0,J54/M54,IF(J54&gt;0,Assumptions!$B$12,0))</f>
        <v>0</v>
      </c>
      <c r="Q54" s="21">
        <f>IF(AND(N54&lt;Assumptions!$B$12,K54&gt;=0.99),1,0)</f>
        <v>1</v>
      </c>
      <c r="R54" s="42">
        <f t="shared" si="3"/>
        <v>27.5</v>
      </c>
      <c r="S54" s="42">
        <f>IF(Q54=1,(Assumptions!$B$12-N54)*(H54/Assumptions!$B$12),0)</f>
        <v>73.333333333333329</v>
      </c>
      <c r="T54" s="20">
        <f>S54*G54</f>
        <v>3372.6</v>
      </c>
      <c r="U54" s="21">
        <f>IF(OR(K54&gt;=Assumptions!$B$5,Q54=1,AND(F54="Core",P54&lt;Assumptions!$B$7)),1,0)</f>
        <v>1</v>
      </c>
      <c r="V54" s="21">
        <f>IF(AND(F54="Seasonal",K54&lt;Assumptions!$B$6,P54&gt;Assumptions!$B$8),1,0)</f>
        <v>0</v>
      </c>
      <c r="W54" s="18">
        <f>IF(U54=1,ROUND(MAX(0,Assumptions!$B$9*R54-J54),0),0)</f>
        <v>165</v>
      </c>
      <c r="X54" s="44" t="str">
        <f t="shared" si="7"/>
        <v>Reorder - recover lost sales</v>
      </c>
    </row>
    <row r="55" spans="1:24" x14ac:dyDescent="0.35">
      <c r="A55" s="43" t="s">
        <v>135</v>
      </c>
      <c r="B55" s="22" t="s">
        <v>64</v>
      </c>
      <c r="C55" s="40" t="str">
        <f>INDEX(Dim_Product!$B:B, MATCH($A55,Dim_Product!$A:$A,0))</f>
        <v>Satin Slip Dress</v>
      </c>
      <c r="D55" s="40" t="str">
        <f>INDEX(Dim_Product!$D:D, MATCH($A55,Dim_Product!$A:$A,0))</f>
        <v>Dresses</v>
      </c>
      <c r="E55" s="40" t="str">
        <f>INDEX(Dim_Product!$E:E, MATCH($A55,Dim_Product!$A:$A,0))</f>
        <v>Champagne</v>
      </c>
      <c r="F55" s="40" t="str">
        <f>INDEX(Dim_Product!$F:F, MATCH($A55,Dim_Product!$A:$A,0))</f>
        <v>Seasonal</v>
      </c>
      <c r="G55" s="41">
        <f>INDEX(Dim_Product!$G:G, MATCH($A55,Dim_Product!$A:$A,0))</f>
        <v>45.99</v>
      </c>
      <c r="H55" s="18">
        <f>SUMIFS(Fact_Weekly!$D$2:$D$1500,Fact_Weekly!$B$2:$B$1500,$A55,Fact_Weekly!$C$2:$C$1500,$B55)</f>
        <v>129</v>
      </c>
      <c r="I55" s="18">
        <f>SUMIFS(Fact_Weekly!$E$2:$E$1500,Fact_Weekly!$B$2:$B$1500,$A55,Fact_Weekly!$C$2:$C$1500,$B55)</f>
        <v>129</v>
      </c>
      <c r="J55" s="18">
        <f t="shared" si="0"/>
        <v>0</v>
      </c>
      <c r="K55" s="19">
        <f t="shared" si="5"/>
        <v>1</v>
      </c>
      <c r="L55" s="18">
        <f>SUMIFS(Fact_Weekly!$E$2:$E$1500,Fact_Weekly!$B$2:$B$1500,$A55,Fact_Weekly!$C$2:$C$1500,$B55,Fact_Weekly!$A$2:$A$1500,"&gt;="&amp;(Assumptions!$B$12-Assumptions!$B$11+1))</f>
        <v>0</v>
      </c>
      <c r="M55" s="42">
        <f>L55/Assumptions!$B$11</f>
        <v>0</v>
      </c>
      <c r="N55" s="18">
        <f>COUNTIFS(Fact_Weekly!$B$2:$B$1500,$A55,Fact_Weekly!$C$2:$C$1500,$B55,Fact_Weekly!$G$2:$G$1500,"&gt;0")</f>
        <v>3</v>
      </c>
      <c r="O55" s="42">
        <f t="shared" si="6"/>
        <v>43</v>
      </c>
      <c r="P55" s="42">
        <f>IF(M55&gt;0,J55/M55,IF(J55&gt;0,Assumptions!$B$12,0))</f>
        <v>0</v>
      </c>
      <c r="Q55" s="21">
        <f>IF(AND(N55&lt;Assumptions!$B$12,K55&gt;=0.99),1,0)</f>
        <v>1</v>
      </c>
      <c r="R55" s="42">
        <f t="shared" si="3"/>
        <v>43</v>
      </c>
      <c r="S55" s="42">
        <f>IF(Q55=1,(Assumptions!$B$12-N55)*(H55/Assumptions!$B$12),0)</f>
        <v>96.75</v>
      </c>
      <c r="T55" s="20">
        <f>S55*G55</f>
        <v>4449.5325000000003</v>
      </c>
      <c r="U55" s="21">
        <f>IF(OR(K55&gt;=Assumptions!$B$5,Q55=1,AND(F55="Core",P55&lt;Assumptions!$B$7)),1,0)</f>
        <v>1</v>
      </c>
      <c r="V55" s="21">
        <f>IF(AND(F55="Seasonal",K55&lt;Assumptions!$B$6,P55&gt;Assumptions!$B$8),1,0)</f>
        <v>0</v>
      </c>
      <c r="W55" s="18">
        <f>IF(U55=1,ROUND(MAX(0,Assumptions!$B$9*R55-J55),0),0)</f>
        <v>258</v>
      </c>
      <c r="X55" s="44" t="str">
        <f t="shared" si="7"/>
        <v>Reorder - recover lost sales</v>
      </c>
    </row>
    <row r="56" spans="1:24" x14ac:dyDescent="0.35">
      <c r="A56" s="43" t="s">
        <v>135</v>
      </c>
      <c r="B56" s="22" t="s">
        <v>66</v>
      </c>
      <c r="C56" s="40" t="str">
        <f>INDEX(Dim_Product!$B:B, MATCH($A56,Dim_Product!$A:$A,0))</f>
        <v>Satin Slip Dress</v>
      </c>
      <c r="D56" s="40" t="str">
        <f>INDEX(Dim_Product!$D:D, MATCH($A56,Dim_Product!$A:$A,0))</f>
        <v>Dresses</v>
      </c>
      <c r="E56" s="40" t="str">
        <f>INDEX(Dim_Product!$E:E, MATCH($A56,Dim_Product!$A:$A,0))</f>
        <v>Champagne</v>
      </c>
      <c r="F56" s="40" t="str">
        <f>INDEX(Dim_Product!$F:F, MATCH($A56,Dim_Product!$A:$A,0))</f>
        <v>Seasonal</v>
      </c>
      <c r="G56" s="41">
        <f>INDEX(Dim_Product!$G:G, MATCH($A56,Dim_Product!$A:$A,0))</f>
        <v>45.99</v>
      </c>
      <c r="H56" s="18">
        <f>SUMIFS(Fact_Weekly!$D$2:$D$1500,Fact_Weekly!$B$2:$B$1500,$A56,Fact_Weekly!$C$2:$C$1500,$B56)</f>
        <v>92</v>
      </c>
      <c r="I56" s="18">
        <f>SUMIFS(Fact_Weekly!$E$2:$E$1500,Fact_Weekly!$B$2:$B$1500,$A56,Fact_Weekly!$C$2:$C$1500,$B56)</f>
        <v>92</v>
      </c>
      <c r="J56" s="18">
        <f t="shared" si="0"/>
        <v>0</v>
      </c>
      <c r="K56" s="19">
        <f t="shared" si="5"/>
        <v>1</v>
      </c>
      <c r="L56" s="18">
        <f>SUMIFS(Fact_Weekly!$E$2:$E$1500,Fact_Weekly!$B$2:$B$1500,$A56,Fact_Weekly!$C$2:$C$1500,$B56,Fact_Weekly!$A$2:$A$1500,"&gt;="&amp;(Assumptions!$B$12-Assumptions!$B$11+1))</f>
        <v>0</v>
      </c>
      <c r="M56" s="42">
        <f>L56/Assumptions!$B$11</f>
        <v>0</v>
      </c>
      <c r="N56" s="18">
        <f>COUNTIFS(Fact_Weekly!$B$2:$B$1500,$A56,Fact_Weekly!$C$2:$C$1500,$B56,Fact_Weekly!$G$2:$G$1500,"&gt;0")</f>
        <v>4</v>
      </c>
      <c r="O56" s="42">
        <f t="shared" si="6"/>
        <v>23</v>
      </c>
      <c r="P56" s="42">
        <f>IF(M56&gt;0,J56/M56,IF(J56&gt;0,Assumptions!$B$12,0))</f>
        <v>0</v>
      </c>
      <c r="Q56" s="21">
        <f>IF(AND(N56&lt;Assumptions!$B$12,K56&gt;=0.99),1,0)</f>
        <v>1</v>
      </c>
      <c r="R56" s="42">
        <f t="shared" si="3"/>
        <v>23</v>
      </c>
      <c r="S56" s="42">
        <f>IF(Q56=1,(Assumptions!$B$12-N56)*(H56/Assumptions!$B$12),0)</f>
        <v>61.333333333333336</v>
      </c>
      <c r="T56" s="20">
        <f>S56*G56</f>
        <v>2820.7200000000003</v>
      </c>
      <c r="U56" s="21">
        <f>IF(OR(K56&gt;=Assumptions!$B$5,Q56=1,AND(F56="Core",P56&lt;Assumptions!$B$7)),1,0)</f>
        <v>1</v>
      </c>
      <c r="V56" s="21">
        <f>IF(AND(F56="Seasonal",K56&lt;Assumptions!$B$6,P56&gt;Assumptions!$B$8),1,0)</f>
        <v>0</v>
      </c>
      <c r="W56" s="18">
        <f>IF(U56=1,ROUND(MAX(0,Assumptions!$B$9*R56-J56),0),0)</f>
        <v>138</v>
      </c>
      <c r="X56" s="44" t="str">
        <f t="shared" si="7"/>
        <v>Reorder - recover lost sales</v>
      </c>
    </row>
    <row r="57" spans="1:24" x14ac:dyDescent="0.35">
      <c r="A57" s="43" t="s">
        <v>135</v>
      </c>
      <c r="B57" s="22" t="s">
        <v>68</v>
      </c>
      <c r="C57" s="40" t="str">
        <f>INDEX(Dim_Product!$B:B, MATCH($A57,Dim_Product!$A:$A,0))</f>
        <v>Satin Slip Dress</v>
      </c>
      <c r="D57" s="40" t="str">
        <f>INDEX(Dim_Product!$D:D, MATCH($A57,Dim_Product!$A:$A,0))</f>
        <v>Dresses</v>
      </c>
      <c r="E57" s="40" t="str">
        <f>INDEX(Dim_Product!$E:E, MATCH($A57,Dim_Product!$A:$A,0))</f>
        <v>Champagne</v>
      </c>
      <c r="F57" s="40" t="str">
        <f>INDEX(Dim_Product!$F:F, MATCH($A57,Dim_Product!$A:$A,0))</f>
        <v>Seasonal</v>
      </c>
      <c r="G57" s="41">
        <f>INDEX(Dim_Product!$G:G, MATCH($A57,Dim_Product!$A:$A,0))</f>
        <v>45.99</v>
      </c>
      <c r="H57" s="18">
        <f>SUMIFS(Fact_Weekly!$D$2:$D$1500,Fact_Weekly!$B$2:$B$1500,$A57,Fact_Weekly!$C$2:$C$1500,$B57)</f>
        <v>107</v>
      </c>
      <c r="I57" s="18">
        <f>SUMIFS(Fact_Weekly!$E$2:$E$1500,Fact_Weekly!$B$2:$B$1500,$A57,Fact_Weekly!$C$2:$C$1500,$B57)</f>
        <v>107</v>
      </c>
      <c r="J57" s="18">
        <f t="shared" si="0"/>
        <v>0</v>
      </c>
      <c r="K57" s="19">
        <f t="shared" si="5"/>
        <v>1</v>
      </c>
      <c r="L57" s="18">
        <f>SUMIFS(Fact_Weekly!$E$2:$E$1500,Fact_Weekly!$B$2:$B$1500,$A57,Fact_Weekly!$C$2:$C$1500,$B57,Fact_Weekly!$A$2:$A$1500,"&gt;="&amp;(Assumptions!$B$12-Assumptions!$B$11+1))</f>
        <v>0</v>
      </c>
      <c r="M57" s="42">
        <f>L57/Assumptions!$B$11</f>
        <v>0</v>
      </c>
      <c r="N57" s="18">
        <f>COUNTIFS(Fact_Weekly!$B$2:$B$1500,$A57,Fact_Weekly!$C$2:$C$1500,$B57,Fact_Weekly!$G$2:$G$1500,"&gt;0")</f>
        <v>3</v>
      </c>
      <c r="O57" s="42">
        <f t="shared" si="6"/>
        <v>35.666666666666664</v>
      </c>
      <c r="P57" s="42">
        <f>IF(M57&gt;0,J57/M57,IF(J57&gt;0,Assumptions!$B$12,0))</f>
        <v>0</v>
      </c>
      <c r="Q57" s="21">
        <f>IF(AND(N57&lt;Assumptions!$B$12,K57&gt;=0.99),1,0)</f>
        <v>1</v>
      </c>
      <c r="R57" s="42">
        <f t="shared" si="3"/>
        <v>35.666666666666664</v>
      </c>
      <c r="S57" s="42">
        <f>IF(Q57=1,(Assumptions!$B$12-N57)*(H57/Assumptions!$B$12),0)</f>
        <v>80.25</v>
      </c>
      <c r="T57" s="20">
        <f>S57*G57</f>
        <v>3690.6975000000002</v>
      </c>
      <c r="U57" s="21">
        <f>IF(OR(K57&gt;=Assumptions!$B$5,Q57=1,AND(F57="Core",P57&lt;Assumptions!$B$7)),1,0)</f>
        <v>1</v>
      </c>
      <c r="V57" s="21">
        <f>IF(AND(F57="Seasonal",K57&lt;Assumptions!$B$6,P57&gt;Assumptions!$B$8),1,0)</f>
        <v>0</v>
      </c>
      <c r="W57" s="18">
        <f>IF(U57=1,ROUND(MAX(0,Assumptions!$B$9*R57-J57),0),0)</f>
        <v>214</v>
      </c>
      <c r="X57" s="44" t="str">
        <f t="shared" si="7"/>
        <v>Reorder - recover lost sales</v>
      </c>
    </row>
    <row r="58" spans="1:24" x14ac:dyDescent="0.35">
      <c r="A58" s="43" t="s">
        <v>139</v>
      </c>
      <c r="B58" s="22" t="s">
        <v>62</v>
      </c>
      <c r="C58" s="40" t="str">
        <f>INDEX(Dim_Product!$B:B, MATCH($A58,Dim_Product!$A:$A,0))</f>
        <v>Satin Slip Dress</v>
      </c>
      <c r="D58" s="40" t="str">
        <f>INDEX(Dim_Product!$D:D, MATCH($A58,Dim_Product!$A:$A,0))</f>
        <v>Dresses</v>
      </c>
      <c r="E58" s="40" t="str">
        <f>INDEX(Dim_Product!$E:E, MATCH($A58,Dim_Product!$A:$A,0))</f>
        <v>Emerald</v>
      </c>
      <c r="F58" s="40" t="str">
        <f>INDEX(Dim_Product!$F:F, MATCH($A58,Dim_Product!$A:$A,0))</f>
        <v>Seasonal</v>
      </c>
      <c r="G58" s="41">
        <f>INDEX(Dim_Product!$G:G, MATCH($A58,Dim_Product!$A:$A,0))</f>
        <v>45.99</v>
      </c>
      <c r="H58" s="18">
        <f>SUMIFS(Fact_Weekly!$D$2:$D$1500,Fact_Weekly!$B$2:$B$1500,$A58,Fact_Weekly!$C$2:$C$1500,$B58)</f>
        <v>125</v>
      </c>
      <c r="I58" s="18">
        <f>SUMIFS(Fact_Weekly!$E$2:$E$1500,Fact_Weekly!$B$2:$B$1500,$A58,Fact_Weekly!$C$2:$C$1500,$B58)</f>
        <v>125</v>
      </c>
      <c r="J58" s="18">
        <f t="shared" si="0"/>
        <v>0</v>
      </c>
      <c r="K58" s="19">
        <f t="shared" si="5"/>
        <v>1</v>
      </c>
      <c r="L58" s="18">
        <f>SUMIFS(Fact_Weekly!$E$2:$E$1500,Fact_Weekly!$B$2:$B$1500,$A58,Fact_Weekly!$C$2:$C$1500,$B58,Fact_Weekly!$A$2:$A$1500,"&gt;="&amp;(Assumptions!$B$12-Assumptions!$B$11+1))</f>
        <v>0</v>
      </c>
      <c r="M58" s="42">
        <f>L58/Assumptions!$B$11</f>
        <v>0</v>
      </c>
      <c r="N58" s="18">
        <f>COUNTIFS(Fact_Weekly!$B$2:$B$1500,$A58,Fact_Weekly!$C$2:$C$1500,$B58,Fact_Weekly!$G$2:$G$1500,"&gt;0")</f>
        <v>4</v>
      </c>
      <c r="O58" s="42">
        <f t="shared" si="6"/>
        <v>31.25</v>
      </c>
      <c r="P58" s="42">
        <f>IF(M58&gt;0,J58/M58,IF(J58&gt;0,Assumptions!$B$12,0))</f>
        <v>0</v>
      </c>
      <c r="Q58" s="21">
        <f>IF(AND(N58&lt;Assumptions!$B$12,K58&gt;=0.99),1,0)</f>
        <v>1</v>
      </c>
      <c r="R58" s="42">
        <f t="shared" si="3"/>
        <v>31.25</v>
      </c>
      <c r="S58" s="42">
        <f>IF(Q58=1,(Assumptions!$B$12-N58)*(H58/Assumptions!$B$12),0)</f>
        <v>83.333333333333329</v>
      </c>
      <c r="T58" s="20">
        <f>S58*G58</f>
        <v>3832.5</v>
      </c>
      <c r="U58" s="21">
        <f>IF(OR(K58&gt;=Assumptions!$B$5,Q58=1,AND(F58="Core",P58&lt;Assumptions!$B$7)),1,0)</f>
        <v>1</v>
      </c>
      <c r="V58" s="21">
        <f>IF(AND(F58="Seasonal",K58&lt;Assumptions!$B$6,P58&gt;Assumptions!$B$8),1,0)</f>
        <v>0</v>
      </c>
      <c r="W58" s="18">
        <f>IF(U58=1,ROUND(MAX(0,Assumptions!$B$9*R58-J58),0),0)</f>
        <v>188</v>
      </c>
      <c r="X58" s="44" t="str">
        <f t="shared" si="7"/>
        <v>Reorder - recover lost sales</v>
      </c>
    </row>
    <row r="59" spans="1:24" x14ac:dyDescent="0.35">
      <c r="A59" s="43" t="s">
        <v>139</v>
      </c>
      <c r="B59" s="22" t="s">
        <v>64</v>
      </c>
      <c r="C59" s="40" t="str">
        <f>INDEX(Dim_Product!$B:B, MATCH($A59,Dim_Product!$A:$A,0))</f>
        <v>Satin Slip Dress</v>
      </c>
      <c r="D59" s="40" t="str">
        <f>INDEX(Dim_Product!$D:D, MATCH($A59,Dim_Product!$A:$A,0))</f>
        <v>Dresses</v>
      </c>
      <c r="E59" s="40" t="str">
        <f>INDEX(Dim_Product!$E:E, MATCH($A59,Dim_Product!$A:$A,0))</f>
        <v>Emerald</v>
      </c>
      <c r="F59" s="40" t="str">
        <f>INDEX(Dim_Product!$F:F, MATCH($A59,Dim_Product!$A:$A,0))</f>
        <v>Seasonal</v>
      </c>
      <c r="G59" s="41">
        <f>INDEX(Dim_Product!$G:G, MATCH($A59,Dim_Product!$A:$A,0))</f>
        <v>45.99</v>
      </c>
      <c r="H59" s="18">
        <f>SUMIFS(Fact_Weekly!$D$2:$D$1500,Fact_Weekly!$B$2:$B$1500,$A59,Fact_Weekly!$C$2:$C$1500,$B59)</f>
        <v>166</v>
      </c>
      <c r="I59" s="18">
        <f>SUMIFS(Fact_Weekly!$E$2:$E$1500,Fact_Weekly!$B$2:$B$1500,$A59,Fact_Weekly!$C$2:$C$1500,$B59)</f>
        <v>166</v>
      </c>
      <c r="J59" s="18">
        <f t="shared" si="0"/>
        <v>0</v>
      </c>
      <c r="K59" s="19">
        <f t="shared" si="5"/>
        <v>1</v>
      </c>
      <c r="L59" s="18">
        <f>SUMIFS(Fact_Weekly!$E$2:$E$1500,Fact_Weekly!$B$2:$B$1500,$A59,Fact_Weekly!$C$2:$C$1500,$B59,Fact_Weekly!$A$2:$A$1500,"&gt;="&amp;(Assumptions!$B$12-Assumptions!$B$11+1))</f>
        <v>0</v>
      </c>
      <c r="M59" s="42">
        <f>L59/Assumptions!$B$11</f>
        <v>0</v>
      </c>
      <c r="N59" s="18">
        <f>COUNTIFS(Fact_Weekly!$B$2:$B$1500,$A59,Fact_Weekly!$C$2:$C$1500,$B59,Fact_Weekly!$G$2:$G$1500,"&gt;0")</f>
        <v>5</v>
      </c>
      <c r="O59" s="42">
        <f t="shared" si="6"/>
        <v>33.200000000000003</v>
      </c>
      <c r="P59" s="42">
        <f>IF(M59&gt;0,J59/M59,IF(J59&gt;0,Assumptions!$B$12,0))</f>
        <v>0</v>
      </c>
      <c r="Q59" s="21">
        <f>IF(AND(N59&lt;Assumptions!$B$12,K59&gt;=0.99),1,0)</f>
        <v>1</v>
      </c>
      <c r="R59" s="42">
        <f t="shared" si="3"/>
        <v>33.200000000000003</v>
      </c>
      <c r="S59" s="42">
        <f>IF(Q59=1,(Assumptions!$B$12-N59)*(H59/Assumptions!$B$12),0)</f>
        <v>96.833333333333343</v>
      </c>
      <c r="T59" s="20">
        <f>S59*G59</f>
        <v>4453.3650000000007</v>
      </c>
      <c r="U59" s="21">
        <f>IF(OR(K59&gt;=Assumptions!$B$5,Q59=1,AND(F59="Core",P59&lt;Assumptions!$B$7)),1,0)</f>
        <v>1</v>
      </c>
      <c r="V59" s="21">
        <f>IF(AND(F59="Seasonal",K59&lt;Assumptions!$B$6,P59&gt;Assumptions!$B$8),1,0)</f>
        <v>0</v>
      </c>
      <c r="W59" s="18">
        <f>IF(U59=1,ROUND(MAX(0,Assumptions!$B$9*R59-J59),0),0)</f>
        <v>199</v>
      </c>
      <c r="X59" s="44" t="str">
        <f t="shared" si="7"/>
        <v>Reorder - recover lost sales</v>
      </c>
    </row>
    <row r="60" spans="1:24" x14ac:dyDescent="0.35">
      <c r="A60" s="43" t="s">
        <v>139</v>
      </c>
      <c r="B60" s="22" t="s">
        <v>66</v>
      </c>
      <c r="C60" s="40" t="str">
        <f>INDEX(Dim_Product!$B:B, MATCH($A60,Dim_Product!$A:$A,0))</f>
        <v>Satin Slip Dress</v>
      </c>
      <c r="D60" s="40" t="str">
        <f>INDEX(Dim_Product!$D:D, MATCH($A60,Dim_Product!$A:$A,0))</f>
        <v>Dresses</v>
      </c>
      <c r="E60" s="40" t="str">
        <f>INDEX(Dim_Product!$E:E, MATCH($A60,Dim_Product!$A:$A,0))</f>
        <v>Emerald</v>
      </c>
      <c r="F60" s="40" t="str">
        <f>INDEX(Dim_Product!$F:F, MATCH($A60,Dim_Product!$A:$A,0))</f>
        <v>Seasonal</v>
      </c>
      <c r="G60" s="41">
        <f>INDEX(Dim_Product!$G:G, MATCH($A60,Dim_Product!$A:$A,0))</f>
        <v>45.99</v>
      </c>
      <c r="H60" s="18">
        <f>SUMIFS(Fact_Weekly!$D$2:$D$1500,Fact_Weekly!$B$2:$B$1500,$A60,Fact_Weekly!$C$2:$C$1500,$B60)</f>
        <v>107</v>
      </c>
      <c r="I60" s="18">
        <f>SUMIFS(Fact_Weekly!$E$2:$E$1500,Fact_Weekly!$B$2:$B$1500,$A60,Fact_Weekly!$C$2:$C$1500,$B60)</f>
        <v>107</v>
      </c>
      <c r="J60" s="18">
        <f t="shared" si="0"/>
        <v>0</v>
      </c>
      <c r="K60" s="19">
        <f t="shared" si="5"/>
        <v>1</v>
      </c>
      <c r="L60" s="18">
        <f>SUMIFS(Fact_Weekly!$E$2:$E$1500,Fact_Weekly!$B$2:$B$1500,$A60,Fact_Weekly!$C$2:$C$1500,$B60,Fact_Weekly!$A$2:$A$1500,"&gt;="&amp;(Assumptions!$B$12-Assumptions!$B$11+1))</f>
        <v>0</v>
      </c>
      <c r="M60" s="42">
        <f>L60/Assumptions!$B$11</f>
        <v>0</v>
      </c>
      <c r="N60" s="18">
        <f>COUNTIFS(Fact_Weekly!$B$2:$B$1500,$A60,Fact_Weekly!$C$2:$C$1500,$B60,Fact_Weekly!$G$2:$G$1500,"&gt;0")</f>
        <v>3</v>
      </c>
      <c r="O60" s="42">
        <f t="shared" si="6"/>
        <v>35.666666666666664</v>
      </c>
      <c r="P60" s="42">
        <f>IF(M60&gt;0,J60/M60,IF(J60&gt;0,Assumptions!$B$12,0))</f>
        <v>0</v>
      </c>
      <c r="Q60" s="21">
        <f>IF(AND(N60&lt;Assumptions!$B$12,K60&gt;=0.99),1,0)</f>
        <v>1</v>
      </c>
      <c r="R60" s="42">
        <f t="shared" si="3"/>
        <v>35.666666666666664</v>
      </c>
      <c r="S60" s="42">
        <f>IF(Q60=1,(Assumptions!$B$12-N60)*(H60/Assumptions!$B$12),0)</f>
        <v>80.25</v>
      </c>
      <c r="T60" s="20">
        <f>S60*G60</f>
        <v>3690.6975000000002</v>
      </c>
      <c r="U60" s="21">
        <f>IF(OR(K60&gt;=Assumptions!$B$5,Q60=1,AND(F60="Core",P60&lt;Assumptions!$B$7)),1,0)</f>
        <v>1</v>
      </c>
      <c r="V60" s="21">
        <f>IF(AND(F60="Seasonal",K60&lt;Assumptions!$B$6,P60&gt;Assumptions!$B$8),1,0)</f>
        <v>0</v>
      </c>
      <c r="W60" s="18">
        <f>IF(U60=1,ROUND(MAX(0,Assumptions!$B$9*R60-J60),0),0)</f>
        <v>214</v>
      </c>
      <c r="X60" s="44" t="str">
        <f t="shared" si="7"/>
        <v>Reorder - recover lost sales</v>
      </c>
    </row>
    <row r="61" spans="1:24" x14ac:dyDescent="0.35">
      <c r="A61" s="43" t="s">
        <v>139</v>
      </c>
      <c r="B61" s="22" t="s">
        <v>68</v>
      </c>
      <c r="C61" s="40" t="str">
        <f>INDEX(Dim_Product!$B:B, MATCH($A61,Dim_Product!$A:$A,0))</f>
        <v>Satin Slip Dress</v>
      </c>
      <c r="D61" s="40" t="str">
        <f>INDEX(Dim_Product!$D:D, MATCH($A61,Dim_Product!$A:$A,0))</f>
        <v>Dresses</v>
      </c>
      <c r="E61" s="40" t="str">
        <f>INDEX(Dim_Product!$E:E, MATCH($A61,Dim_Product!$A:$A,0))</f>
        <v>Emerald</v>
      </c>
      <c r="F61" s="40" t="str">
        <f>INDEX(Dim_Product!$F:F, MATCH($A61,Dim_Product!$A:$A,0))</f>
        <v>Seasonal</v>
      </c>
      <c r="G61" s="41">
        <f>INDEX(Dim_Product!$G:G, MATCH($A61,Dim_Product!$A:$A,0))</f>
        <v>45.99</v>
      </c>
      <c r="H61" s="18">
        <f>SUMIFS(Fact_Weekly!$D$2:$D$1500,Fact_Weekly!$B$2:$B$1500,$A61,Fact_Weekly!$C$2:$C$1500,$B61)</f>
        <v>129</v>
      </c>
      <c r="I61" s="18">
        <f>SUMIFS(Fact_Weekly!$E$2:$E$1500,Fact_Weekly!$B$2:$B$1500,$A61,Fact_Weekly!$C$2:$C$1500,$B61)</f>
        <v>129</v>
      </c>
      <c r="J61" s="18">
        <f t="shared" si="0"/>
        <v>0</v>
      </c>
      <c r="K61" s="19">
        <f t="shared" si="5"/>
        <v>1</v>
      </c>
      <c r="L61" s="18">
        <f>SUMIFS(Fact_Weekly!$E$2:$E$1500,Fact_Weekly!$B$2:$B$1500,$A61,Fact_Weekly!$C$2:$C$1500,$B61,Fact_Weekly!$A$2:$A$1500,"&gt;="&amp;(Assumptions!$B$12-Assumptions!$B$11+1))</f>
        <v>0</v>
      </c>
      <c r="M61" s="42">
        <f>L61/Assumptions!$B$11</f>
        <v>0</v>
      </c>
      <c r="N61" s="18">
        <f>COUNTIFS(Fact_Weekly!$B$2:$B$1500,$A61,Fact_Weekly!$C$2:$C$1500,$B61,Fact_Weekly!$G$2:$G$1500,"&gt;0")</f>
        <v>3</v>
      </c>
      <c r="O61" s="42">
        <f t="shared" si="6"/>
        <v>43</v>
      </c>
      <c r="P61" s="42">
        <f>IF(M61&gt;0,J61/M61,IF(J61&gt;0,Assumptions!$B$12,0))</f>
        <v>0</v>
      </c>
      <c r="Q61" s="21">
        <f>IF(AND(N61&lt;Assumptions!$B$12,K61&gt;=0.99),1,0)</f>
        <v>1</v>
      </c>
      <c r="R61" s="42">
        <f t="shared" si="3"/>
        <v>43</v>
      </c>
      <c r="S61" s="42">
        <f>IF(Q61=1,(Assumptions!$B$12-N61)*(H61/Assumptions!$B$12),0)</f>
        <v>96.75</v>
      </c>
      <c r="T61" s="20">
        <f>S61*G61</f>
        <v>4449.5325000000003</v>
      </c>
      <c r="U61" s="21">
        <f>IF(OR(K61&gt;=Assumptions!$B$5,Q61=1,AND(F61="Core",P61&lt;Assumptions!$B$7)),1,0)</f>
        <v>1</v>
      </c>
      <c r="V61" s="21">
        <f>IF(AND(F61="Seasonal",K61&lt;Assumptions!$B$6,P61&gt;Assumptions!$B$8),1,0)</f>
        <v>0</v>
      </c>
      <c r="W61" s="18">
        <f>IF(U61=1,ROUND(MAX(0,Assumptions!$B$9*R61-J61),0),0)</f>
        <v>258</v>
      </c>
      <c r="X61" s="44" t="str">
        <f t="shared" si="7"/>
        <v>Reorder - recover lost sales</v>
      </c>
    </row>
    <row r="62" spans="1:24" x14ac:dyDescent="0.35">
      <c r="A62" s="43" t="s">
        <v>141</v>
      </c>
      <c r="B62" s="22" t="s">
        <v>62</v>
      </c>
      <c r="C62" s="40" t="str">
        <f>INDEX(Dim_Product!$B:B, MATCH($A62,Dim_Product!$A:$A,0))</f>
        <v>Satin Slip Dress</v>
      </c>
      <c r="D62" s="40" t="str">
        <f>INDEX(Dim_Product!$D:D, MATCH($A62,Dim_Product!$A:$A,0))</f>
        <v>Dresses</v>
      </c>
      <c r="E62" s="40" t="str">
        <f>INDEX(Dim_Product!$E:E, MATCH($A62,Dim_Product!$A:$A,0))</f>
        <v>Black</v>
      </c>
      <c r="F62" s="40" t="str">
        <f>INDEX(Dim_Product!$F:F, MATCH($A62,Dim_Product!$A:$A,0))</f>
        <v>Seasonal</v>
      </c>
      <c r="G62" s="41">
        <f>INDEX(Dim_Product!$G:G, MATCH($A62,Dim_Product!$A:$A,0))</f>
        <v>45.99</v>
      </c>
      <c r="H62" s="18">
        <f>SUMIFS(Fact_Weekly!$D$2:$D$1500,Fact_Weekly!$B$2:$B$1500,$A62,Fact_Weekly!$C$2:$C$1500,$B62)</f>
        <v>103</v>
      </c>
      <c r="I62" s="18">
        <f>SUMIFS(Fact_Weekly!$E$2:$E$1500,Fact_Weekly!$B$2:$B$1500,$A62,Fact_Weekly!$C$2:$C$1500,$B62)</f>
        <v>103</v>
      </c>
      <c r="J62" s="18">
        <f t="shared" si="0"/>
        <v>0</v>
      </c>
      <c r="K62" s="19">
        <f t="shared" si="5"/>
        <v>1</v>
      </c>
      <c r="L62" s="18">
        <f>SUMIFS(Fact_Weekly!$E$2:$E$1500,Fact_Weekly!$B$2:$B$1500,$A62,Fact_Weekly!$C$2:$C$1500,$B62,Fact_Weekly!$A$2:$A$1500,"&gt;="&amp;(Assumptions!$B$12-Assumptions!$B$11+1))</f>
        <v>0</v>
      </c>
      <c r="M62" s="42">
        <f>L62/Assumptions!$B$11</f>
        <v>0</v>
      </c>
      <c r="N62" s="18">
        <f>COUNTIFS(Fact_Weekly!$B$2:$B$1500,$A62,Fact_Weekly!$C$2:$C$1500,$B62,Fact_Weekly!$G$2:$G$1500,"&gt;0")</f>
        <v>6</v>
      </c>
      <c r="O62" s="42">
        <f t="shared" si="6"/>
        <v>17.166666666666668</v>
      </c>
      <c r="P62" s="42">
        <f>IF(M62&gt;0,J62/M62,IF(J62&gt;0,Assumptions!$B$12,0))</f>
        <v>0</v>
      </c>
      <c r="Q62" s="21">
        <f>IF(AND(N62&lt;Assumptions!$B$12,K62&gt;=0.99),1,0)</f>
        <v>1</v>
      </c>
      <c r="R62" s="42">
        <f t="shared" si="3"/>
        <v>17.166666666666668</v>
      </c>
      <c r="S62" s="42">
        <f>IF(Q62=1,(Assumptions!$B$12-N62)*(H62/Assumptions!$B$12),0)</f>
        <v>51.5</v>
      </c>
      <c r="T62" s="20">
        <f>S62*G62</f>
        <v>2368.4850000000001</v>
      </c>
      <c r="U62" s="21">
        <f>IF(OR(K62&gt;=Assumptions!$B$5,Q62=1,AND(F62="Core",P62&lt;Assumptions!$B$7)),1,0)</f>
        <v>1</v>
      </c>
      <c r="V62" s="21">
        <f>IF(AND(F62="Seasonal",K62&lt;Assumptions!$B$6,P62&gt;Assumptions!$B$8),1,0)</f>
        <v>0</v>
      </c>
      <c r="W62" s="18">
        <f>IF(U62=1,ROUND(MAX(0,Assumptions!$B$9*R62-J62),0),0)</f>
        <v>103</v>
      </c>
      <c r="X62" s="44" t="str">
        <f t="shared" si="7"/>
        <v>Reorder - recover lost sales</v>
      </c>
    </row>
    <row r="63" spans="1:24" x14ac:dyDescent="0.35">
      <c r="A63" s="43" t="s">
        <v>141</v>
      </c>
      <c r="B63" s="22" t="s">
        <v>64</v>
      </c>
      <c r="C63" s="40" t="str">
        <f>INDEX(Dim_Product!$B:B, MATCH($A63,Dim_Product!$A:$A,0))</f>
        <v>Satin Slip Dress</v>
      </c>
      <c r="D63" s="40" t="str">
        <f>INDEX(Dim_Product!$D:D, MATCH($A63,Dim_Product!$A:$A,0))</f>
        <v>Dresses</v>
      </c>
      <c r="E63" s="40" t="str">
        <f>INDEX(Dim_Product!$E:E, MATCH($A63,Dim_Product!$A:$A,0))</f>
        <v>Black</v>
      </c>
      <c r="F63" s="40" t="str">
        <f>INDEX(Dim_Product!$F:F, MATCH($A63,Dim_Product!$A:$A,0))</f>
        <v>Seasonal</v>
      </c>
      <c r="G63" s="41">
        <f>INDEX(Dim_Product!$G:G, MATCH($A63,Dim_Product!$A:$A,0))</f>
        <v>45.99</v>
      </c>
      <c r="H63" s="18">
        <f>SUMIFS(Fact_Weekly!$D$2:$D$1500,Fact_Weekly!$B$2:$B$1500,$A63,Fact_Weekly!$C$2:$C$1500,$B63)</f>
        <v>132</v>
      </c>
      <c r="I63" s="18">
        <f>SUMIFS(Fact_Weekly!$E$2:$E$1500,Fact_Weekly!$B$2:$B$1500,$A63,Fact_Weekly!$C$2:$C$1500,$B63)</f>
        <v>132</v>
      </c>
      <c r="J63" s="18">
        <f t="shared" si="0"/>
        <v>0</v>
      </c>
      <c r="K63" s="19">
        <f t="shared" si="5"/>
        <v>1</v>
      </c>
      <c r="L63" s="18">
        <f>SUMIFS(Fact_Weekly!$E$2:$E$1500,Fact_Weekly!$B$2:$B$1500,$A63,Fact_Weekly!$C$2:$C$1500,$B63,Fact_Weekly!$A$2:$A$1500,"&gt;="&amp;(Assumptions!$B$12-Assumptions!$B$11+1))</f>
        <v>0</v>
      </c>
      <c r="M63" s="42">
        <f>L63/Assumptions!$B$11</f>
        <v>0</v>
      </c>
      <c r="N63" s="18">
        <f>COUNTIFS(Fact_Weekly!$B$2:$B$1500,$A63,Fact_Weekly!$C$2:$C$1500,$B63,Fact_Weekly!$G$2:$G$1500,"&gt;0")</f>
        <v>4</v>
      </c>
      <c r="O63" s="42">
        <f t="shared" si="6"/>
        <v>33</v>
      </c>
      <c r="P63" s="42">
        <f>IF(M63&gt;0,J63/M63,IF(J63&gt;0,Assumptions!$B$12,0))</f>
        <v>0</v>
      </c>
      <c r="Q63" s="21">
        <f>IF(AND(N63&lt;Assumptions!$B$12,K63&gt;=0.99),1,0)</f>
        <v>1</v>
      </c>
      <c r="R63" s="42">
        <f t="shared" si="3"/>
        <v>33</v>
      </c>
      <c r="S63" s="42">
        <f>IF(Q63=1,(Assumptions!$B$12-N63)*(H63/Assumptions!$B$12),0)</f>
        <v>88</v>
      </c>
      <c r="T63" s="20">
        <f>S63*G63</f>
        <v>4047.1200000000003</v>
      </c>
      <c r="U63" s="21">
        <f>IF(OR(K63&gt;=Assumptions!$B$5,Q63=1,AND(F63="Core",P63&lt;Assumptions!$B$7)),1,0)</f>
        <v>1</v>
      </c>
      <c r="V63" s="21">
        <f>IF(AND(F63="Seasonal",K63&lt;Assumptions!$B$6,P63&gt;Assumptions!$B$8),1,0)</f>
        <v>0</v>
      </c>
      <c r="W63" s="18">
        <f>IF(U63=1,ROUND(MAX(0,Assumptions!$B$9*R63-J63),0),0)</f>
        <v>198</v>
      </c>
      <c r="X63" s="44" t="str">
        <f t="shared" si="7"/>
        <v>Reorder - recover lost sales</v>
      </c>
    </row>
    <row r="64" spans="1:24" x14ac:dyDescent="0.35">
      <c r="A64" s="43" t="s">
        <v>141</v>
      </c>
      <c r="B64" s="22" t="s">
        <v>66</v>
      </c>
      <c r="C64" s="40" t="str">
        <f>INDEX(Dim_Product!$B:B, MATCH($A64,Dim_Product!$A:$A,0))</f>
        <v>Satin Slip Dress</v>
      </c>
      <c r="D64" s="40" t="str">
        <f>INDEX(Dim_Product!$D:D, MATCH($A64,Dim_Product!$A:$A,0))</f>
        <v>Dresses</v>
      </c>
      <c r="E64" s="40" t="str">
        <f>INDEX(Dim_Product!$E:E, MATCH($A64,Dim_Product!$A:$A,0))</f>
        <v>Black</v>
      </c>
      <c r="F64" s="40" t="str">
        <f>INDEX(Dim_Product!$F:F, MATCH($A64,Dim_Product!$A:$A,0))</f>
        <v>Seasonal</v>
      </c>
      <c r="G64" s="41">
        <f>INDEX(Dim_Product!$G:G, MATCH($A64,Dim_Product!$A:$A,0))</f>
        <v>45.99</v>
      </c>
      <c r="H64" s="18">
        <f>SUMIFS(Fact_Weekly!$D$2:$D$1500,Fact_Weekly!$B$2:$B$1500,$A64,Fact_Weekly!$C$2:$C$1500,$B64)</f>
        <v>78</v>
      </c>
      <c r="I64" s="18">
        <f>SUMIFS(Fact_Weekly!$E$2:$E$1500,Fact_Weekly!$B$2:$B$1500,$A64,Fact_Weekly!$C$2:$C$1500,$B64)</f>
        <v>78</v>
      </c>
      <c r="J64" s="18">
        <f t="shared" si="0"/>
        <v>0</v>
      </c>
      <c r="K64" s="19">
        <f t="shared" si="5"/>
        <v>1</v>
      </c>
      <c r="L64" s="18">
        <f>SUMIFS(Fact_Weekly!$E$2:$E$1500,Fact_Weekly!$B$2:$B$1500,$A64,Fact_Weekly!$C$2:$C$1500,$B64,Fact_Weekly!$A$2:$A$1500,"&gt;="&amp;(Assumptions!$B$12-Assumptions!$B$11+1))</f>
        <v>0</v>
      </c>
      <c r="M64" s="42">
        <f>L64/Assumptions!$B$11</f>
        <v>0</v>
      </c>
      <c r="N64" s="18">
        <f>COUNTIFS(Fact_Weekly!$B$2:$B$1500,$A64,Fact_Weekly!$C$2:$C$1500,$B64,Fact_Weekly!$G$2:$G$1500,"&gt;0")</f>
        <v>3</v>
      </c>
      <c r="O64" s="42">
        <f t="shared" si="6"/>
        <v>26</v>
      </c>
      <c r="P64" s="42">
        <f>IF(M64&gt;0,J64/M64,IF(J64&gt;0,Assumptions!$B$12,0))</f>
        <v>0</v>
      </c>
      <c r="Q64" s="21">
        <f>IF(AND(N64&lt;Assumptions!$B$12,K64&gt;=0.99),1,0)</f>
        <v>1</v>
      </c>
      <c r="R64" s="42">
        <f t="shared" si="3"/>
        <v>26</v>
      </c>
      <c r="S64" s="42">
        <f>IF(Q64=1,(Assumptions!$B$12-N64)*(H64/Assumptions!$B$12),0)</f>
        <v>58.5</v>
      </c>
      <c r="T64" s="20">
        <f>S64*G64</f>
        <v>2690.415</v>
      </c>
      <c r="U64" s="21">
        <f>IF(OR(K64&gt;=Assumptions!$B$5,Q64=1,AND(F64="Core",P64&lt;Assumptions!$B$7)),1,0)</f>
        <v>1</v>
      </c>
      <c r="V64" s="21">
        <f>IF(AND(F64="Seasonal",K64&lt;Assumptions!$B$6,P64&gt;Assumptions!$B$8),1,0)</f>
        <v>0</v>
      </c>
      <c r="W64" s="18">
        <f>IF(U64=1,ROUND(MAX(0,Assumptions!$B$9*R64-J64),0),0)</f>
        <v>156</v>
      </c>
      <c r="X64" s="44" t="str">
        <f t="shared" si="7"/>
        <v>Reorder - recover lost sales</v>
      </c>
    </row>
    <row r="65" spans="1:24" x14ac:dyDescent="0.35">
      <c r="A65" s="43" t="s">
        <v>141</v>
      </c>
      <c r="B65" s="22" t="s">
        <v>68</v>
      </c>
      <c r="C65" s="40" t="str">
        <f>INDEX(Dim_Product!$B:B, MATCH($A65,Dim_Product!$A:$A,0))</f>
        <v>Satin Slip Dress</v>
      </c>
      <c r="D65" s="40" t="str">
        <f>INDEX(Dim_Product!$D:D, MATCH($A65,Dim_Product!$A:$A,0))</f>
        <v>Dresses</v>
      </c>
      <c r="E65" s="40" t="str">
        <f>INDEX(Dim_Product!$E:E, MATCH($A65,Dim_Product!$A:$A,0))</f>
        <v>Black</v>
      </c>
      <c r="F65" s="40" t="str">
        <f>INDEX(Dim_Product!$F:F, MATCH($A65,Dim_Product!$A:$A,0))</f>
        <v>Seasonal</v>
      </c>
      <c r="G65" s="41">
        <f>INDEX(Dim_Product!$G:G, MATCH($A65,Dim_Product!$A:$A,0))</f>
        <v>45.99</v>
      </c>
      <c r="H65" s="18">
        <f>SUMIFS(Fact_Weekly!$D$2:$D$1500,Fact_Weekly!$B$2:$B$1500,$A65,Fact_Weekly!$C$2:$C$1500,$B65)</f>
        <v>110</v>
      </c>
      <c r="I65" s="18">
        <f>SUMIFS(Fact_Weekly!$E$2:$E$1500,Fact_Weekly!$B$2:$B$1500,$A65,Fact_Weekly!$C$2:$C$1500,$B65)</f>
        <v>110</v>
      </c>
      <c r="J65" s="18">
        <f t="shared" si="0"/>
        <v>0</v>
      </c>
      <c r="K65" s="19">
        <f t="shared" si="5"/>
        <v>1</v>
      </c>
      <c r="L65" s="18">
        <f>SUMIFS(Fact_Weekly!$E$2:$E$1500,Fact_Weekly!$B$2:$B$1500,$A65,Fact_Weekly!$C$2:$C$1500,$B65,Fact_Weekly!$A$2:$A$1500,"&gt;="&amp;(Assumptions!$B$12-Assumptions!$B$11+1))</f>
        <v>0</v>
      </c>
      <c r="M65" s="42">
        <f>L65/Assumptions!$B$11</f>
        <v>0</v>
      </c>
      <c r="N65" s="18">
        <f>COUNTIFS(Fact_Weekly!$B$2:$B$1500,$A65,Fact_Weekly!$C$2:$C$1500,$B65,Fact_Weekly!$G$2:$G$1500,"&gt;0")</f>
        <v>3</v>
      </c>
      <c r="O65" s="42">
        <f t="shared" si="6"/>
        <v>36.666666666666664</v>
      </c>
      <c r="P65" s="42">
        <f>IF(M65&gt;0,J65/M65,IF(J65&gt;0,Assumptions!$B$12,0))</f>
        <v>0</v>
      </c>
      <c r="Q65" s="21">
        <f>IF(AND(N65&lt;Assumptions!$B$12,K65&gt;=0.99),1,0)</f>
        <v>1</v>
      </c>
      <c r="R65" s="42">
        <f t="shared" si="3"/>
        <v>36.666666666666664</v>
      </c>
      <c r="S65" s="42">
        <f>IF(Q65=1,(Assumptions!$B$12-N65)*(H65/Assumptions!$B$12),0)</f>
        <v>82.5</v>
      </c>
      <c r="T65" s="20">
        <f>S65*G65</f>
        <v>3794.1750000000002</v>
      </c>
      <c r="U65" s="21">
        <f>IF(OR(K65&gt;=Assumptions!$B$5,Q65=1,AND(F65="Core",P65&lt;Assumptions!$B$7)),1,0)</f>
        <v>1</v>
      </c>
      <c r="V65" s="21">
        <f>IF(AND(F65="Seasonal",K65&lt;Assumptions!$B$6,P65&gt;Assumptions!$B$8),1,0)</f>
        <v>0</v>
      </c>
      <c r="W65" s="18">
        <f>IF(U65=1,ROUND(MAX(0,Assumptions!$B$9*R65-J65),0),0)</f>
        <v>220</v>
      </c>
      <c r="X65" s="44" t="str">
        <f t="shared" si="7"/>
        <v>Reorder - recover lost sales</v>
      </c>
    </row>
    <row r="66" spans="1:24" x14ac:dyDescent="0.35">
      <c r="A66" s="43" t="s">
        <v>142</v>
      </c>
      <c r="B66" s="22" t="s">
        <v>62</v>
      </c>
      <c r="C66" s="40" t="str">
        <f>INDEX(Dim_Product!$B:B, MATCH($A66,Dim_Product!$A:$A,0))</f>
        <v>Puff-Sleeve Blouse</v>
      </c>
      <c r="D66" s="40" t="str">
        <f>INDEX(Dim_Product!$D:D, MATCH($A66,Dim_Product!$A:$A,0))</f>
        <v>Tops</v>
      </c>
      <c r="E66" s="40" t="str">
        <f>INDEX(Dim_Product!$E:E, MATCH($A66,Dim_Product!$A:$A,0))</f>
        <v>White</v>
      </c>
      <c r="F66" s="40" t="str">
        <f>INDEX(Dim_Product!$F:F, MATCH($A66,Dim_Product!$A:$A,0))</f>
        <v>Seasonal</v>
      </c>
      <c r="G66" s="41">
        <f>INDEX(Dim_Product!$G:G, MATCH($A66,Dim_Product!$A:$A,0))</f>
        <v>32.99</v>
      </c>
      <c r="H66" s="18">
        <f>SUMIFS(Fact_Weekly!$D$2:$D$1500,Fact_Weekly!$B$2:$B$1500,$A66,Fact_Weekly!$C$2:$C$1500,$B66)</f>
        <v>78</v>
      </c>
      <c r="I66" s="18">
        <f>SUMIFS(Fact_Weekly!$E$2:$E$1500,Fact_Weekly!$B$2:$B$1500,$A66,Fact_Weekly!$C$2:$C$1500,$B66)</f>
        <v>78</v>
      </c>
      <c r="J66" s="18">
        <f t="shared" si="0"/>
        <v>0</v>
      </c>
      <c r="K66" s="19">
        <f t="shared" ref="K66:K97" si="8">IF(H66&gt;0,I66/H66,0)</f>
        <v>1</v>
      </c>
      <c r="L66" s="18">
        <f>SUMIFS(Fact_Weekly!$E$2:$E$1500,Fact_Weekly!$B$2:$B$1500,$A66,Fact_Weekly!$C$2:$C$1500,$B66,Fact_Weekly!$A$2:$A$1500,"&gt;="&amp;(Assumptions!$B$12-Assumptions!$B$11+1))</f>
        <v>0</v>
      </c>
      <c r="M66" s="42">
        <f>L66/Assumptions!$B$11</f>
        <v>0</v>
      </c>
      <c r="N66" s="18">
        <f>COUNTIFS(Fact_Weekly!$B$2:$B$1500,$A66,Fact_Weekly!$C$2:$C$1500,$B66,Fact_Weekly!$G$2:$G$1500,"&gt;0")</f>
        <v>4</v>
      </c>
      <c r="O66" s="42">
        <f t="shared" ref="O66:O97" si="9">IF(N66&gt;0,I66/N66,0)</f>
        <v>19.5</v>
      </c>
      <c r="P66" s="42">
        <f>IF(M66&gt;0,J66/M66,IF(J66&gt;0,Assumptions!$B$12,0))</f>
        <v>0</v>
      </c>
      <c r="Q66" s="21">
        <f>IF(AND(N66&lt;Assumptions!$B$12,K66&gt;=0.99),1,0)</f>
        <v>1</v>
      </c>
      <c r="R66" s="42">
        <f t="shared" si="3"/>
        <v>19.5</v>
      </c>
      <c r="S66" s="42">
        <f>IF(Q66=1,(Assumptions!$B$12-N66)*(H66/Assumptions!$B$12),0)</f>
        <v>52</v>
      </c>
      <c r="T66" s="20">
        <f>S66*G66</f>
        <v>1715.48</v>
      </c>
      <c r="U66" s="21">
        <f>IF(OR(K66&gt;=Assumptions!$B$5,Q66=1,AND(F66="Core",P66&lt;Assumptions!$B$7)),1,0)</f>
        <v>1</v>
      </c>
      <c r="V66" s="21">
        <f>IF(AND(F66="Seasonal",K66&lt;Assumptions!$B$6,P66&gt;Assumptions!$B$8),1,0)</f>
        <v>0</v>
      </c>
      <c r="W66" s="18">
        <f>IF(U66=1,ROUND(MAX(0,Assumptions!$B$9*R66-J66),0),0)</f>
        <v>117</v>
      </c>
      <c r="X66" s="44" t="str">
        <f t="shared" ref="X66:X97" si="10">IF(V66=1,"Markdown / clear",IF(AND(U66=1,Q66=1),"Reorder - recover lost sales",IF(U66=1,"Reorder / replenish","Maintain / monitor")))</f>
        <v>Reorder - recover lost sales</v>
      </c>
    </row>
    <row r="67" spans="1:24" x14ac:dyDescent="0.35">
      <c r="A67" s="43" t="s">
        <v>142</v>
      </c>
      <c r="B67" s="22" t="s">
        <v>64</v>
      </c>
      <c r="C67" s="40" t="str">
        <f>INDEX(Dim_Product!$B:B, MATCH($A67,Dim_Product!$A:$A,0))</f>
        <v>Puff-Sleeve Blouse</v>
      </c>
      <c r="D67" s="40" t="str">
        <f>INDEX(Dim_Product!$D:D, MATCH($A67,Dim_Product!$A:$A,0))</f>
        <v>Tops</v>
      </c>
      <c r="E67" s="40" t="str">
        <f>INDEX(Dim_Product!$E:E, MATCH($A67,Dim_Product!$A:$A,0))</f>
        <v>White</v>
      </c>
      <c r="F67" s="40" t="str">
        <f>INDEX(Dim_Product!$F:F, MATCH($A67,Dim_Product!$A:$A,0))</f>
        <v>Seasonal</v>
      </c>
      <c r="G67" s="41">
        <f>INDEX(Dim_Product!$G:G, MATCH($A67,Dim_Product!$A:$A,0))</f>
        <v>32.99</v>
      </c>
      <c r="H67" s="18">
        <f>SUMIFS(Fact_Weekly!$D$2:$D$1500,Fact_Weekly!$B$2:$B$1500,$A67,Fact_Weekly!$C$2:$C$1500,$B67)</f>
        <v>115</v>
      </c>
      <c r="I67" s="18">
        <f>SUMIFS(Fact_Weekly!$E$2:$E$1500,Fact_Weekly!$B$2:$B$1500,$A67,Fact_Weekly!$C$2:$C$1500,$B67)</f>
        <v>115</v>
      </c>
      <c r="J67" s="18">
        <f t="shared" ref="J67:J121" si="11">H67-I67</f>
        <v>0</v>
      </c>
      <c r="K67" s="19">
        <f t="shared" si="8"/>
        <v>1</v>
      </c>
      <c r="L67" s="18">
        <f>SUMIFS(Fact_Weekly!$E$2:$E$1500,Fact_Weekly!$B$2:$B$1500,$A67,Fact_Weekly!$C$2:$C$1500,$B67,Fact_Weekly!$A$2:$A$1500,"&gt;="&amp;(Assumptions!$B$12-Assumptions!$B$11+1))</f>
        <v>0</v>
      </c>
      <c r="M67" s="42">
        <f>L67/Assumptions!$B$11</f>
        <v>0</v>
      </c>
      <c r="N67" s="18">
        <f>COUNTIFS(Fact_Weekly!$B$2:$B$1500,$A67,Fact_Weekly!$C$2:$C$1500,$B67,Fact_Weekly!$G$2:$G$1500,"&gt;0")</f>
        <v>4</v>
      </c>
      <c r="O67" s="42">
        <f t="shared" si="9"/>
        <v>28.75</v>
      </c>
      <c r="P67" s="42">
        <f>IF(M67&gt;0,J67/M67,IF(J67&gt;0,Assumptions!$B$12,0))</f>
        <v>0</v>
      </c>
      <c r="Q67" s="21">
        <f>IF(AND(N67&lt;Assumptions!$B$12,K67&gt;=0.99),1,0)</f>
        <v>1</v>
      </c>
      <c r="R67" s="42">
        <f t="shared" ref="R67:R121" si="12">IF(Q67=1,O67,M67)</f>
        <v>28.75</v>
      </c>
      <c r="S67" s="42">
        <f>IF(Q67=1,(Assumptions!$B$12-N67)*(H67/Assumptions!$B$12),0)</f>
        <v>76.666666666666671</v>
      </c>
      <c r="T67" s="20">
        <f>S67*G67</f>
        <v>2529.2333333333336</v>
      </c>
      <c r="U67" s="21">
        <f>IF(OR(K67&gt;=Assumptions!$B$5,Q67=1,AND(F67="Core",P67&lt;Assumptions!$B$7)),1,0)</f>
        <v>1</v>
      </c>
      <c r="V67" s="21">
        <f>IF(AND(F67="Seasonal",K67&lt;Assumptions!$B$6,P67&gt;Assumptions!$B$8),1,0)</f>
        <v>0</v>
      </c>
      <c r="W67" s="18">
        <f>IF(U67=1,ROUND(MAX(0,Assumptions!$B$9*R67-J67),0),0)</f>
        <v>173</v>
      </c>
      <c r="X67" s="44" t="str">
        <f t="shared" si="10"/>
        <v>Reorder - recover lost sales</v>
      </c>
    </row>
    <row r="68" spans="1:24" x14ac:dyDescent="0.35">
      <c r="A68" s="43" t="s">
        <v>142</v>
      </c>
      <c r="B68" s="22" t="s">
        <v>66</v>
      </c>
      <c r="C68" s="40" t="str">
        <f>INDEX(Dim_Product!$B:B, MATCH($A68,Dim_Product!$A:$A,0))</f>
        <v>Puff-Sleeve Blouse</v>
      </c>
      <c r="D68" s="40" t="str">
        <f>INDEX(Dim_Product!$D:D, MATCH($A68,Dim_Product!$A:$A,0))</f>
        <v>Tops</v>
      </c>
      <c r="E68" s="40" t="str">
        <f>INDEX(Dim_Product!$E:E, MATCH($A68,Dim_Product!$A:$A,0))</f>
        <v>White</v>
      </c>
      <c r="F68" s="40" t="str">
        <f>INDEX(Dim_Product!$F:F, MATCH($A68,Dim_Product!$A:$A,0))</f>
        <v>Seasonal</v>
      </c>
      <c r="G68" s="41">
        <f>INDEX(Dim_Product!$G:G, MATCH($A68,Dim_Product!$A:$A,0))</f>
        <v>32.99</v>
      </c>
      <c r="H68" s="18">
        <f>SUMIFS(Fact_Weekly!$D$2:$D$1500,Fact_Weekly!$B$2:$B$1500,$A68,Fact_Weekly!$C$2:$C$1500,$B68)</f>
        <v>74</v>
      </c>
      <c r="I68" s="18">
        <f>SUMIFS(Fact_Weekly!$E$2:$E$1500,Fact_Weekly!$B$2:$B$1500,$A68,Fact_Weekly!$C$2:$C$1500,$B68)</f>
        <v>74</v>
      </c>
      <c r="J68" s="18">
        <f t="shared" si="11"/>
        <v>0</v>
      </c>
      <c r="K68" s="19">
        <f t="shared" si="8"/>
        <v>1</v>
      </c>
      <c r="L68" s="18">
        <f>SUMIFS(Fact_Weekly!$E$2:$E$1500,Fact_Weekly!$B$2:$B$1500,$A68,Fact_Weekly!$C$2:$C$1500,$B68,Fact_Weekly!$A$2:$A$1500,"&gt;="&amp;(Assumptions!$B$12-Assumptions!$B$11+1))</f>
        <v>0</v>
      </c>
      <c r="M68" s="42">
        <f>L68/Assumptions!$B$11</f>
        <v>0</v>
      </c>
      <c r="N68" s="18">
        <f>COUNTIFS(Fact_Weekly!$B$2:$B$1500,$A68,Fact_Weekly!$C$2:$C$1500,$B68,Fact_Weekly!$G$2:$G$1500,"&gt;0")</f>
        <v>5</v>
      </c>
      <c r="O68" s="42">
        <f t="shared" si="9"/>
        <v>14.8</v>
      </c>
      <c r="P68" s="42">
        <f>IF(M68&gt;0,J68/M68,IF(J68&gt;0,Assumptions!$B$12,0))</f>
        <v>0</v>
      </c>
      <c r="Q68" s="21">
        <f>IF(AND(N68&lt;Assumptions!$B$12,K68&gt;=0.99),1,0)</f>
        <v>1</v>
      </c>
      <c r="R68" s="42">
        <f t="shared" si="12"/>
        <v>14.8</v>
      </c>
      <c r="S68" s="42">
        <f>IF(Q68=1,(Assumptions!$B$12-N68)*(H68/Assumptions!$B$12),0)</f>
        <v>43.166666666666671</v>
      </c>
      <c r="T68" s="20">
        <f>S68*G68</f>
        <v>1424.0683333333336</v>
      </c>
      <c r="U68" s="21">
        <f>IF(OR(K68&gt;=Assumptions!$B$5,Q68=1,AND(F68="Core",P68&lt;Assumptions!$B$7)),1,0)</f>
        <v>1</v>
      </c>
      <c r="V68" s="21">
        <f>IF(AND(F68="Seasonal",K68&lt;Assumptions!$B$6,P68&gt;Assumptions!$B$8),1,0)</f>
        <v>0</v>
      </c>
      <c r="W68" s="18">
        <f>IF(U68=1,ROUND(MAX(0,Assumptions!$B$9*R68-J68),0),0)</f>
        <v>89</v>
      </c>
      <c r="X68" s="44" t="str">
        <f t="shared" si="10"/>
        <v>Reorder - recover lost sales</v>
      </c>
    </row>
    <row r="69" spans="1:24" x14ac:dyDescent="0.35">
      <c r="A69" s="43" t="s">
        <v>142</v>
      </c>
      <c r="B69" s="22" t="s">
        <v>68</v>
      </c>
      <c r="C69" s="40" t="str">
        <f>INDEX(Dim_Product!$B:B, MATCH($A69,Dim_Product!$A:$A,0))</f>
        <v>Puff-Sleeve Blouse</v>
      </c>
      <c r="D69" s="40" t="str">
        <f>INDEX(Dim_Product!$D:D, MATCH($A69,Dim_Product!$A:$A,0))</f>
        <v>Tops</v>
      </c>
      <c r="E69" s="40" t="str">
        <f>INDEX(Dim_Product!$E:E, MATCH($A69,Dim_Product!$A:$A,0))</f>
        <v>White</v>
      </c>
      <c r="F69" s="40" t="str">
        <f>INDEX(Dim_Product!$F:F, MATCH($A69,Dim_Product!$A:$A,0))</f>
        <v>Seasonal</v>
      </c>
      <c r="G69" s="41">
        <f>INDEX(Dim_Product!$G:G, MATCH($A69,Dim_Product!$A:$A,0))</f>
        <v>32.99</v>
      </c>
      <c r="H69" s="18">
        <f>SUMIFS(Fact_Weekly!$D$2:$D$1500,Fact_Weekly!$B$2:$B$1500,$A69,Fact_Weekly!$C$2:$C$1500,$B69)</f>
        <v>93</v>
      </c>
      <c r="I69" s="18">
        <f>SUMIFS(Fact_Weekly!$E$2:$E$1500,Fact_Weekly!$B$2:$B$1500,$A69,Fact_Weekly!$C$2:$C$1500,$B69)</f>
        <v>93</v>
      </c>
      <c r="J69" s="18">
        <f t="shared" si="11"/>
        <v>0</v>
      </c>
      <c r="K69" s="19">
        <f t="shared" si="8"/>
        <v>1</v>
      </c>
      <c r="L69" s="18">
        <f>SUMIFS(Fact_Weekly!$E$2:$E$1500,Fact_Weekly!$B$2:$B$1500,$A69,Fact_Weekly!$C$2:$C$1500,$B69,Fact_Weekly!$A$2:$A$1500,"&gt;="&amp;(Assumptions!$B$12-Assumptions!$B$11+1))</f>
        <v>0</v>
      </c>
      <c r="M69" s="42">
        <f>L69/Assumptions!$B$11</f>
        <v>0</v>
      </c>
      <c r="N69" s="18">
        <f>COUNTIFS(Fact_Weekly!$B$2:$B$1500,$A69,Fact_Weekly!$C$2:$C$1500,$B69,Fact_Weekly!$G$2:$G$1500,"&gt;0")</f>
        <v>5</v>
      </c>
      <c r="O69" s="42">
        <f t="shared" si="9"/>
        <v>18.600000000000001</v>
      </c>
      <c r="P69" s="42">
        <f>IF(M69&gt;0,J69/M69,IF(J69&gt;0,Assumptions!$B$12,0))</f>
        <v>0</v>
      </c>
      <c r="Q69" s="21">
        <f>IF(AND(N69&lt;Assumptions!$B$12,K69&gt;=0.99),1,0)</f>
        <v>1</v>
      </c>
      <c r="R69" s="42">
        <f t="shared" si="12"/>
        <v>18.600000000000001</v>
      </c>
      <c r="S69" s="42">
        <f>IF(Q69=1,(Assumptions!$B$12-N69)*(H69/Assumptions!$B$12),0)</f>
        <v>54.25</v>
      </c>
      <c r="T69" s="20">
        <f>S69*G69</f>
        <v>1789.7075000000002</v>
      </c>
      <c r="U69" s="21">
        <f>IF(OR(K69&gt;=Assumptions!$B$5,Q69=1,AND(F69="Core",P69&lt;Assumptions!$B$7)),1,0)</f>
        <v>1</v>
      </c>
      <c r="V69" s="21">
        <f>IF(AND(F69="Seasonal",K69&lt;Assumptions!$B$6,P69&gt;Assumptions!$B$8),1,0)</f>
        <v>0</v>
      </c>
      <c r="W69" s="18">
        <f>IF(U69=1,ROUND(MAX(0,Assumptions!$B$9*R69-J69),0),0)</f>
        <v>112</v>
      </c>
      <c r="X69" s="44" t="str">
        <f t="shared" si="10"/>
        <v>Reorder - recover lost sales</v>
      </c>
    </row>
    <row r="70" spans="1:24" x14ac:dyDescent="0.35">
      <c r="A70" s="43" t="s">
        <v>145</v>
      </c>
      <c r="B70" s="22" t="s">
        <v>62</v>
      </c>
      <c r="C70" s="40" t="str">
        <f>INDEX(Dim_Product!$B:B, MATCH($A70,Dim_Product!$A:$A,0))</f>
        <v>Puff-Sleeve Blouse</v>
      </c>
      <c r="D70" s="40" t="str">
        <f>INDEX(Dim_Product!$D:D, MATCH($A70,Dim_Product!$A:$A,0))</f>
        <v>Tops</v>
      </c>
      <c r="E70" s="40" t="str">
        <f>INDEX(Dim_Product!$E:E, MATCH($A70,Dim_Product!$A:$A,0))</f>
        <v>Powder Blue</v>
      </c>
      <c r="F70" s="40" t="str">
        <f>INDEX(Dim_Product!$F:F, MATCH($A70,Dim_Product!$A:$A,0))</f>
        <v>Seasonal</v>
      </c>
      <c r="G70" s="41">
        <f>INDEX(Dim_Product!$G:G, MATCH($A70,Dim_Product!$A:$A,0))</f>
        <v>32.99</v>
      </c>
      <c r="H70" s="18">
        <f>SUMIFS(Fact_Weekly!$D$2:$D$1500,Fact_Weekly!$B$2:$B$1500,$A70,Fact_Weekly!$C$2:$C$1500,$B70)</f>
        <v>72</v>
      </c>
      <c r="I70" s="18">
        <f>SUMIFS(Fact_Weekly!$E$2:$E$1500,Fact_Weekly!$B$2:$B$1500,$A70,Fact_Weekly!$C$2:$C$1500,$B70)</f>
        <v>72</v>
      </c>
      <c r="J70" s="18">
        <f t="shared" si="11"/>
        <v>0</v>
      </c>
      <c r="K70" s="19">
        <f t="shared" si="8"/>
        <v>1</v>
      </c>
      <c r="L70" s="18">
        <f>SUMIFS(Fact_Weekly!$E$2:$E$1500,Fact_Weekly!$B$2:$B$1500,$A70,Fact_Weekly!$C$2:$C$1500,$B70,Fact_Weekly!$A$2:$A$1500,"&gt;="&amp;(Assumptions!$B$12-Assumptions!$B$11+1))</f>
        <v>0</v>
      </c>
      <c r="M70" s="42">
        <f>L70/Assumptions!$B$11</f>
        <v>0</v>
      </c>
      <c r="N70" s="18">
        <f>COUNTIFS(Fact_Weekly!$B$2:$B$1500,$A70,Fact_Weekly!$C$2:$C$1500,$B70,Fact_Weekly!$G$2:$G$1500,"&gt;0")</f>
        <v>5</v>
      </c>
      <c r="O70" s="42">
        <f t="shared" si="9"/>
        <v>14.4</v>
      </c>
      <c r="P70" s="42">
        <f>IF(M70&gt;0,J70/M70,IF(J70&gt;0,Assumptions!$B$12,0))</f>
        <v>0</v>
      </c>
      <c r="Q70" s="21">
        <f>IF(AND(N70&lt;Assumptions!$B$12,K70&gt;=0.99),1,0)</f>
        <v>1</v>
      </c>
      <c r="R70" s="42">
        <f t="shared" si="12"/>
        <v>14.4</v>
      </c>
      <c r="S70" s="42">
        <f>IF(Q70=1,(Assumptions!$B$12-N70)*(H70/Assumptions!$B$12),0)</f>
        <v>42</v>
      </c>
      <c r="T70" s="20">
        <f>S70*G70</f>
        <v>1385.5800000000002</v>
      </c>
      <c r="U70" s="21">
        <f>IF(OR(K70&gt;=Assumptions!$B$5,Q70=1,AND(F70="Core",P70&lt;Assumptions!$B$7)),1,0)</f>
        <v>1</v>
      </c>
      <c r="V70" s="21">
        <f>IF(AND(F70="Seasonal",K70&lt;Assumptions!$B$6,P70&gt;Assumptions!$B$8),1,0)</f>
        <v>0</v>
      </c>
      <c r="W70" s="18">
        <f>IF(U70=1,ROUND(MAX(0,Assumptions!$B$9*R70-J70),0),0)</f>
        <v>86</v>
      </c>
      <c r="X70" s="44" t="str">
        <f t="shared" si="10"/>
        <v>Reorder - recover lost sales</v>
      </c>
    </row>
    <row r="71" spans="1:24" x14ac:dyDescent="0.35">
      <c r="A71" s="43" t="s">
        <v>145</v>
      </c>
      <c r="B71" s="22" t="s">
        <v>64</v>
      </c>
      <c r="C71" s="40" t="str">
        <f>INDEX(Dim_Product!$B:B, MATCH($A71,Dim_Product!$A:$A,0))</f>
        <v>Puff-Sleeve Blouse</v>
      </c>
      <c r="D71" s="40" t="str">
        <f>INDEX(Dim_Product!$D:D, MATCH($A71,Dim_Product!$A:$A,0))</f>
        <v>Tops</v>
      </c>
      <c r="E71" s="40" t="str">
        <f>INDEX(Dim_Product!$E:E, MATCH($A71,Dim_Product!$A:$A,0))</f>
        <v>Powder Blue</v>
      </c>
      <c r="F71" s="40" t="str">
        <f>INDEX(Dim_Product!$F:F, MATCH($A71,Dim_Product!$A:$A,0))</f>
        <v>Seasonal</v>
      </c>
      <c r="G71" s="41">
        <f>INDEX(Dim_Product!$G:G, MATCH($A71,Dim_Product!$A:$A,0))</f>
        <v>32.99</v>
      </c>
      <c r="H71" s="18">
        <f>SUMIFS(Fact_Weekly!$D$2:$D$1500,Fact_Weekly!$B$2:$B$1500,$A71,Fact_Weekly!$C$2:$C$1500,$B71)</f>
        <v>102</v>
      </c>
      <c r="I71" s="18">
        <f>SUMIFS(Fact_Weekly!$E$2:$E$1500,Fact_Weekly!$B$2:$B$1500,$A71,Fact_Weekly!$C$2:$C$1500,$B71)</f>
        <v>102</v>
      </c>
      <c r="J71" s="18">
        <f t="shared" si="11"/>
        <v>0</v>
      </c>
      <c r="K71" s="19">
        <f t="shared" si="8"/>
        <v>1</v>
      </c>
      <c r="L71" s="18">
        <f>SUMIFS(Fact_Weekly!$E$2:$E$1500,Fact_Weekly!$B$2:$B$1500,$A71,Fact_Weekly!$C$2:$C$1500,$B71,Fact_Weekly!$A$2:$A$1500,"&gt;="&amp;(Assumptions!$B$12-Assumptions!$B$11+1))</f>
        <v>0</v>
      </c>
      <c r="M71" s="42">
        <f>L71/Assumptions!$B$11</f>
        <v>0</v>
      </c>
      <c r="N71" s="18">
        <f>COUNTIFS(Fact_Weekly!$B$2:$B$1500,$A71,Fact_Weekly!$C$2:$C$1500,$B71,Fact_Weekly!$G$2:$G$1500,"&gt;0")</f>
        <v>6</v>
      </c>
      <c r="O71" s="42">
        <f t="shared" si="9"/>
        <v>17</v>
      </c>
      <c r="P71" s="42">
        <f>IF(M71&gt;0,J71/M71,IF(J71&gt;0,Assumptions!$B$12,0))</f>
        <v>0</v>
      </c>
      <c r="Q71" s="21">
        <f>IF(AND(N71&lt;Assumptions!$B$12,K71&gt;=0.99),1,0)</f>
        <v>1</v>
      </c>
      <c r="R71" s="42">
        <f t="shared" si="12"/>
        <v>17</v>
      </c>
      <c r="S71" s="42">
        <f>IF(Q71=1,(Assumptions!$B$12-N71)*(H71/Assumptions!$B$12),0)</f>
        <v>51</v>
      </c>
      <c r="T71" s="20">
        <f>S71*G71</f>
        <v>1682.49</v>
      </c>
      <c r="U71" s="21">
        <f>IF(OR(K71&gt;=Assumptions!$B$5,Q71=1,AND(F71="Core",P71&lt;Assumptions!$B$7)),1,0)</f>
        <v>1</v>
      </c>
      <c r="V71" s="21">
        <f>IF(AND(F71="Seasonal",K71&lt;Assumptions!$B$6,P71&gt;Assumptions!$B$8),1,0)</f>
        <v>0</v>
      </c>
      <c r="W71" s="18">
        <f>IF(U71=1,ROUND(MAX(0,Assumptions!$B$9*R71-J71),0),0)</f>
        <v>102</v>
      </c>
      <c r="X71" s="44" t="str">
        <f t="shared" si="10"/>
        <v>Reorder - recover lost sales</v>
      </c>
    </row>
    <row r="72" spans="1:24" x14ac:dyDescent="0.35">
      <c r="A72" s="43" t="s">
        <v>145</v>
      </c>
      <c r="B72" s="22" t="s">
        <v>66</v>
      </c>
      <c r="C72" s="40" t="str">
        <f>INDEX(Dim_Product!$B:B, MATCH($A72,Dim_Product!$A:$A,0))</f>
        <v>Puff-Sleeve Blouse</v>
      </c>
      <c r="D72" s="40" t="str">
        <f>INDEX(Dim_Product!$D:D, MATCH($A72,Dim_Product!$A:$A,0))</f>
        <v>Tops</v>
      </c>
      <c r="E72" s="40" t="str">
        <f>INDEX(Dim_Product!$E:E, MATCH($A72,Dim_Product!$A:$A,0))</f>
        <v>Powder Blue</v>
      </c>
      <c r="F72" s="40" t="str">
        <f>INDEX(Dim_Product!$F:F, MATCH($A72,Dim_Product!$A:$A,0))</f>
        <v>Seasonal</v>
      </c>
      <c r="G72" s="41">
        <f>INDEX(Dim_Product!$G:G, MATCH($A72,Dim_Product!$A:$A,0))</f>
        <v>32.99</v>
      </c>
      <c r="H72" s="18">
        <f>SUMIFS(Fact_Weekly!$D$2:$D$1500,Fact_Weekly!$B$2:$B$1500,$A72,Fact_Weekly!$C$2:$C$1500,$B72)</f>
        <v>55</v>
      </c>
      <c r="I72" s="18">
        <f>SUMIFS(Fact_Weekly!$E$2:$E$1500,Fact_Weekly!$B$2:$B$1500,$A72,Fact_Weekly!$C$2:$C$1500,$B72)</f>
        <v>55</v>
      </c>
      <c r="J72" s="18">
        <f t="shared" si="11"/>
        <v>0</v>
      </c>
      <c r="K72" s="19">
        <f t="shared" si="8"/>
        <v>1</v>
      </c>
      <c r="L72" s="18">
        <f>SUMIFS(Fact_Weekly!$E$2:$E$1500,Fact_Weekly!$B$2:$B$1500,$A72,Fact_Weekly!$C$2:$C$1500,$B72,Fact_Weekly!$A$2:$A$1500,"&gt;="&amp;(Assumptions!$B$12-Assumptions!$B$11+1))</f>
        <v>0</v>
      </c>
      <c r="M72" s="42">
        <f>L72/Assumptions!$B$11</f>
        <v>0</v>
      </c>
      <c r="N72" s="18">
        <f>COUNTIFS(Fact_Weekly!$B$2:$B$1500,$A72,Fact_Weekly!$C$2:$C$1500,$B72,Fact_Weekly!$G$2:$G$1500,"&gt;0")</f>
        <v>3</v>
      </c>
      <c r="O72" s="42">
        <f t="shared" si="9"/>
        <v>18.333333333333332</v>
      </c>
      <c r="P72" s="42">
        <f>IF(M72&gt;0,J72/M72,IF(J72&gt;0,Assumptions!$B$12,0))</f>
        <v>0</v>
      </c>
      <c r="Q72" s="21">
        <f>IF(AND(N72&lt;Assumptions!$B$12,K72&gt;=0.99),1,0)</f>
        <v>1</v>
      </c>
      <c r="R72" s="42">
        <f t="shared" si="12"/>
        <v>18.333333333333332</v>
      </c>
      <c r="S72" s="42">
        <f>IF(Q72=1,(Assumptions!$B$12-N72)*(H72/Assumptions!$B$12),0)</f>
        <v>41.25</v>
      </c>
      <c r="T72" s="20">
        <f>S72*G72</f>
        <v>1360.8375000000001</v>
      </c>
      <c r="U72" s="21">
        <f>IF(OR(K72&gt;=Assumptions!$B$5,Q72=1,AND(F72="Core",P72&lt;Assumptions!$B$7)),1,0)</f>
        <v>1</v>
      </c>
      <c r="V72" s="21">
        <f>IF(AND(F72="Seasonal",K72&lt;Assumptions!$B$6,P72&gt;Assumptions!$B$8),1,0)</f>
        <v>0</v>
      </c>
      <c r="W72" s="18">
        <f>IF(U72=1,ROUND(MAX(0,Assumptions!$B$9*R72-J72),0),0)</f>
        <v>110</v>
      </c>
      <c r="X72" s="44" t="str">
        <f t="shared" si="10"/>
        <v>Reorder - recover lost sales</v>
      </c>
    </row>
    <row r="73" spans="1:24" x14ac:dyDescent="0.35">
      <c r="A73" s="43" t="s">
        <v>145</v>
      </c>
      <c r="B73" s="22" t="s">
        <v>68</v>
      </c>
      <c r="C73" s="40" t="str">
        <f>INDEX(Dim_Product!$B:B, MATCH($A73,Dim_Product!$A:$A,0))</f>
        <v>Puff-Sleeve Blouse</v>
      </c>
      <c r="D73" s="40" t="str">
        <f>INDEX(Dim_Product!$D:D, MATCH($A73,Dim_Product!$A:$A,0))</f>
        <v>Tops</v>
      </c>
      <c r="E73" s="40" t="str">
        <f>INDEX(Dim_Product!$E:E, MATCH($A73,Dim_Product!$A:$A,0))</f>
        <v>Powder Blue</v>
      </c>
      <c r="F73" s="40" t="str">
        <f>INDEX(Dim_Product!$F:F, MATCH($A73,Dim_Product!$A:$A,0))</f>
        <v>Seasonal</v>
      </c>
      <c r="G73" s="41">
        <f>INDEX(Dim_Product!$G:G, MATCH($A73,Dim_Product!$A:$A,0))</f>
        <v>32.99</v>
      </c>
      <c r="H73" s="18">
        <f>SUMIFS(Fact_Weekly!$D$2:$D$1500,Fact_Weekly!$B$2:$B$1500,$A73,Fact_Weekly!$C$2:$C$1500,$B73)</f>
        <v>88</v>
      </c>
      <c r="I73" s="18">
        <f>SUMIFS(Fact_Weekly!$E$2:$E$1500,Fact_Weekly!$B$2:$B$1500,$A73,Fact_Weekly!$C$2:$C$1500,$B73)</f>
        <v>88</v>
      </c>
      <c r="J73" s="18">
        <f t="shared" si="11"/>
        <v>0</v>
      </c>
      <c r="K73" s="19">
        <f t="shared" si="8"/>
        <v>1</v>
      </c>
      <c r="L73" s="18">
        <f>SUMIFS(Fact_Weekly!$E$2:$E$1500,Fact_Weekly!$B$2:$B$1500,$A73,Fact_Weekly!$C$2:$C$1500,$B73,Fact_Weekly!$A$2:$A$1500,"&gt;="&amp;(Assumptions!$B$12-Assumptions!$B$11+1))</f>
        <v>0</v>
      </c>
      <c r="M73" s="42">
        <f>L73/Assumptions!$B$11</f>
        <v>0</v>
      </c>
      <c r="N73" s="18">
        <f>COUNTIFS(Fact_Weekly!$B$2:$B$1500,$A73,Fact_Weekly!$C$2:$C$1500,$B73,Fact_Weekly!$G$2:$G$1500,"&gt;0")</f>
        <v>5</v>
      </c>
      <c r="O73" s="42">
        <f t="shared" si="9"/>
        <v>17.600000000000001</v>
      </c>
      <c r="P73" s="42">
        <f>IF(M73&gt;0,J73/M73,IF(J73&gt;0,Assumptions!$B$12,0))</f>
        <v>0</v>
      </c>
      <c r="Q73" s="21">
        <f>IF(AND(N73&lt;Assumptions!$B$12,K73&gt;=0.99),1,0)</f>
        <v>1</v>
      </c>
      <c r="R73" s="42">
        <f t="shared" si="12"/>
        <v>17.600000000000001</v>
      </c>
      <c r="S73" s="42">
        <f>IF(Q73=1,(Assumptions!$B$12-N73)*(H73/Assumptions!$B$12),0)</f>
        <v>51.333333333333329</v>
      </c>
      <c r="T73" s="20">
        <f>S73*G73</f>
        <v>1693.4866666666667</v>
      </c>
      <c r="U73" s="21">
        <f>IF(OR(K73&gt;=Assumptions!$B$5,Q73=1,AND(F73="Core",P73&lt;Assumptions!$B$7)),1,0)</f>
        <v>1</v>
      </c>
      <c r="V73" s="21">
        <f>IF(AND(F73="Seasonal",K73&lt;Assumptions!$B$6,P73&gt;Assumptions!$B$8),1,0)</f>
        <v>0</v>
      </c>
      <c r="W73" s="18">
        <f>IF(U73=1,ROUND(MAX(0,Assumptions!$B$9*R73-J73),0),0)</f>
        <v>106</v>
      </c>
      <c r="X73" s="44" t="str">
        <f t="shared" si="10"/>
        <v>Reorder - recover lost sales</v>
      </c>
    </row>
    <row r="74" spans="1:24" x14ac:dyDescent="0.35">
      <c r="A74" s="43" t="s">
        <v>147</v>
      </c>
      <c r="B74" s="22" t="s">
        <v>62</v>
      </c>
      <c r="C74" s="40" t="str">
        <f>INDEX(Dim_Product!$B:B, MATCH($A74,Dim_Product!$A:$A,0))</f>
        <v>Broderie Top</v>
      </c>
      <c r="D74" s="40" t="str">
        <f>INDEX(Dim_Product!$D:D, MATCH($A74,Dim_Product!$A:$A,0))</f>
        <v>Tops</v>
      </c>
      <c r="E74" s="40" t="str">
        <f>INDEX(Dim_Product!$E:E, MATCH($A74,Dim_Product!$A:$A,0))</f>
        <v>White</v>
      </c>
      <c r="F74" s="40" t="str">
        <f>INDEX(Dim_Product!$F:F, MATCH($A74,Dim_Product!$A:$A,0))</f>
        <v>Seasonal</v>
      </c>
      <c r="G74" s="41">
        <f>INDEX(Dim_Product!$G:G, MATCH($A74,Dim_Product!$A:$A,0))</f>
        <v>29.99</v>
      </c>
      <c r="H74" s="18">
        <f>SUMIFS(Fact_Weekly!$D$2:$D$1500,Fact_Weekly!$B$2:$B$1500,$A74,Fact_Weekly!$C$2:$C$1500,$B74)</f>
        <v>126</v>
      </c>
      <c r="I74" s="18">
        <f>SUMIFS(Fact_Weekly!$E$2:$E$1500,Fact_Weekly!$B$2:$B$1500,$A74,Fact_Weekly!$C$2:$C$1500,$B74)</f>
        <v>59</v>
      </c>
      <c r="J74" s="18">
        <f t="shared" si="11"/>
        <v>67</v>
      </c>
      <c r="K74" s="19">
        <f t="shared" si="8"/>
        <v>0.46825396825396826</v>
      </c>
      <c r="L74" s="18">
        <f>SUMIFS(Fact_Weekly!$E$2:$E$1500,Fact_Weekly!$B$2:$B$1500,$A74,Fact_Weekly!$C$2:$C$1500,$B74,Fact_Weekly!$A$2:$A$1500,"&gt;="&amp;(Assumptions!$B$12-Assumptions!$B$11+1))</f>
        <v>10</v>
      </c>
      <c r="M74" s="42">
        <f>L74/Assumptions!$B$11</f>
        <v>2.5</v>
      </c>
      <c r="N74" s="18">
        <f>COUNTIFS(Fact_Weekly!$B$2:$B$1500,$A74,Fact_Weekly!$C$2:$C$1500,$B74,Fact_Weekly!$G$2:$G$1500,"&gt;0")</f>
        <v>12</v>
      </c>
      <c r="O74" s="42">
        <f t="shared" si="9"/>
        <v>4.916666666666667</v>
      </c>
      <c r="P74" s="42">
        <f>IF(M74&gt;0,J74/M74,IF(J74&gt;0,Assumptions!$B$12,0))</f>
        <v>26.8</v>
      </c>
      <c r="Q74" s="21">
        <f>IF(AND(N74&lt;Assumptions!$B$12,K74&gt;=0.99),1,0)</f>
        <v>0</v>
      </c>
      <c r="R74" s="42">
        <f t="shared" si="12"/>
        <v>2.5</v>
      </c>
      <c r="S74" s="42">
        <f>IF(Q74=1,(Assumptions!$B$12-N74)*(H74/Assumptions!$B$12),0)</f>
        <v>0</v>
      </c>
      <c r="T74" s="20">
        <f>S74*G74</f>
        <v>0</v>
      </c>
      <c r="U74" s="21">
        <f>IF(OR(K74&gt;=Assumptions!$B$5,Q74=1,AND(F74="Core",P74&lt;Assumptions!$B$7)),1,0)</f>
        <v>0</v>
      </c>
      <c r="V74" s="21">
        <f>IF(AND(F74="Seasonal",K74&lt;Assumptions!$B$6,P74&gt;Assumptions!$B$8),1,0)</f>
        <v>1</v>
      </c>
      <c r="W74" s="18">
        <f>IF(U74=1,ROUND(MAX(0,Assumptions!$B$9*R74-J74),0),0)</f>
        <v>0</v>
      </c>
      <c r="X74" s="44" t="str">
        <f t="shared" si="10"/>
        <v>Markdown / clear</v>
      </c>
    </row>
    <row r="75" spans="1:24" x14ac:dyDescent="0.35">
      <c r="A75" s="43" t="s">
        <v>147</v>
      </c>
      <c r="B75" s="22" t="s">
        <v>64</v>
      </c>
      <c r="C75" s="40" t="str">
        <f>INDEX(Dim_Product!$B:B, MATCH($A75,Dim_Product!$A:$A,0))</f>
        <v>Broderie Top</v>
      </c>
      <c r="D75" s="40" t="str">
        <f>INDEX(Dim_Product!$D:D, MATCH($A75,Dim_Product!$A:$A,0))</f>
        <v>Tops</v>
      </c>
      <c r="E75" s="40" t="str">
        <f>INDEX(Dim_Product!$E:E, MATCH($A75,Dim_Product!$A:$A,0))</f>
        <v>White</v>
      </c>
      <c r="F75" s="40" t="str">
        <f>INDEX(Dim_Product!$F:F, MATCH($A75,Dim_Product!$A:$A,0))</f>
        <v>Seasonal</v>
      </c>
      <c r="G75" s="41">
        <f>INDEX(Dim_Product!$G:G, MATCH($A75,Dim_Product!$A:$A,0))</f>
        <v>29.99</v>
      </c>
      <c r="H75" s="18">
        <f>SUMIFS(Fact_Weekly!$D$2:$D$1500,Fact_Weekly!$B$2:$B$1500,$A75,Fact_Weekly!$C$2:$C$1500,$B75)</f>
        <v>181</v>
      </c>
      <c r="I75" s="18">
        <f>SUMIFS(Fact_Weekly!$E$2:$E$1500,Fact_Weekly!$B$2:$B$1500,$A75,Fact_Weekly!$C$2:$C$1500,$B75)</f>
        <v>83</v>
      </c>
      <c r="J75" s="18">
        <f t="shared" si="11"/>
        <v>98</v>
      </c>
      <c r="K75" s="19">
        <f t="shared" si="8"/>
        <v>0.4585635359116022</v>
      </c>
      <c r="L75" s="18">
        <f>SUMIFS(Fact_Weekly!$E$2:$E$1500,Fact_Weekly!$B$2:$B$1500,$A75,Fact_Weekly!$C$2:$C$1500,$B75,Fact_Weekly!$A$2:$A$1500,"&gt;="&amp;(Assumptions!$B$12-Assumptions!$B$11+1))</f>
        <v>18</v>
      </c>
      <c r="M75" s="42">
        <f>L75/Assumptions!$B$11</f>
        <v>4.5</v>
      </c>
      <c r="N75" s="18">
        <f>COUNTIFS(Fact_Weekly!$B$2:$B$1500,$A75,Fact_Weekly!$C$2:$C$1500,$B75,Fact_Weekly!$G$2:$G$1500,"&gt;0")</f>
        <v>12</v>
      </c>
      <c r="O75" s="42">
        <f t="shared" si="9"/>
        <v>6.916666666666667</v>
      </c>
      <c r="P75" s="42">
        <f>IF(M75&gt;0,J75/M75,IF(J75&gt;0,Assumptions!$B$12,0))</f>
        <v>21.777777777777779</v>
      </c>
      <c r="Q75" s="21">
        <f>IF(AND(N75&lt;Assumptions!$B$12,K75&gt;=0.99),1,0)</f>
        <v>0</v>
      </c>
      <c r="R75" s="42">
        <f t="shared" si="12"/>
        <v>4.5</v>
      </c>
      <c r="S75" s="42">
        <f>IF(Q75=1,(Assumptions!$B$12-N75)*(H75/Assumptions!$B$12),0)</f>
        <v>0</v>
      </c>
      <c r="T75" s="20">
        <f>S75*G75</f>
        <v>0</v>
      </c>
      <c r="U75" s="21">
        <f>IF(OR(K75&gt;=Assumptions!$B$5,Q75=1,AND(F75="Core",P75&lt;Assumptions!$B$7)),1,0)</f>
        <v>0</v>
      </c>
      <c r="V75" s="21">
        <f>IF(AND(F75="Seasonal",K75&lt;Assumptions!$B$6,P75&gt;Assumptions!$B$8),1,0)</f>
        <v>1</v>
      </c>
      <c r="W75" s="18">
        <f>IF(U75=1,ROUND(MAX(0,Assumptions!$B$9*R75-J75),0),0)</f>
        <v>0</v>
      </c>
      <c r="X75" s="44" t="str">
        <f t="shared" si="10"/>
        <v>Markdown / clear</v>
      </c>
    </row>
    <row r="76" spans="1:24" x14ac:dyDescent="0.35">
      <c r="A76" s="43" t="s">
        <v>147</v>
      </c>
      <c r="B76" s="22" t="s">
        <v>66</v>
      </c>
      <c r="C76" s="40" t="str">
        <f>INDEX(Dim_Product!$B:B, MATCH($A76,Dim_Product!$A:$A,0))</f>
        <v>Broderie Top</v>
      </c>
      <c r="D76" s="40" t="str">
        <f>INDEX(Dim_Product!$D:D, MATCH($A76,Dim_Product!$A:$A,0))</f>
        <v>Tops</v>
      </c>
      <c r="E76" s="40" t="str">
        <f>INDEX(Dim_Product!$E:E, MATCH($A76,Dim_Product!$A:$A,0))</f>
        <v>White</v>
      </c>
      <c r="F76" s="40" t="str">
        <f>INDEX(Dim_Product!$F:F, MATCH($A76,Dim_Product!$A:$A,0))</f>
        <v>Seasonal</v>
      </c>
      <c r="G76" s="41">
        <f>INDEX(Dim_Product!$G:G, MATCH($A76,Dim_Product!$A:$A,0))</f>
        <v>29.99</v>
      </c>
      <c r="H76" s="18">
        <f>SUMIFS(Fact_Weekly!$D$2:$D$1500,Fact_Weekly!$B$2:$B$1500,$A76,Fact_Weekly!$C$2:$C$1500,$B76)</f>
        <v>110</v>
      </c>
      <c r="I76" s="18">
        <f>SUMIFS(Fact_Weekly!$E$2:$E$1500,Fact_Weekly!$B$2:$B$1500,$A76,Fact_Weekly!$C$2:$C$1500,$B76)</f>
        <v>54</v>
      </c>
      <c r="J76" s="18">
        <f t="shared" si="11"/>
        <v>56</v>
      </c>
      <c r="K76" s="19">
        <f t="shared" si="8"/>
        <v>0.49090909090909091</v>
      </c>
      <c r="L76" s="18">
        <f>SUMIFS(Fact_Weekly!$E$2:$E$1500,Fact_Weekly!$B$2:$B$1500,$A76,Fact_Weekly!$C$2:$C$1500,$B76,Fact_Weekly!$A$2:$A$1500,"&gt;="&amp;(Assumptions!$B$12-Assumptions!$B$11+1))</f>
        <v>9</v>
      </c>
      <c r="M76" s="42">
        <f>L76/Assumptions!$B$11</f>
        <v>2.25</v>
      </c>
      <c r="N76" s="18">
        <f>COUNTIFS(Fact_Weekly!$B$2:$B$1500,$A76,Fact_Weekly!$C$2:$C$1500,$B76,Fact_Weekly!$G$2:$G$1500,"&gt;0")</f>
        <v>12</v>
      </c>
      <c r="O76" s="42">
        <f t="shared" si="9"/>
        <v>4.5</v>
      </c>
      <c r="P76" s="42">
        <f>IF(M76&gt;0,J76/M76,IF(J76&gt;0,Assumptions!$B$12,0))</f>
        <v>24.888888888888889</v>
      </c>
      <c r="Q76" s="21">
        <f>IF(AND(N76&lt;Assumptions!$B$12,K76&gt;=0.99),1,0)</f>
        <v>0</v>
      </c>
      <c r="R76" s="42">
        <f t="shared" si="12"/>
        <v>2.25</v>
      </c>
      <c r="S76" s="42">
        <f>IF(Q76=1,(Assumptions!$B$12-N76)*(H76/Assumptions!$B$12),0)</f>
        <v>0</v>
      </c>
      <c r="T76" s="20">
        <f>S76*G76</f>
        <v>0</v>
      </c>
      <c r="U76" s="21">
        <f>IF(OR(K76&gt;=Assumptions!$B$5,Q76=1,AND(F76="Core",P76&lt;Assumptions!$B$7)),1,0)</f>
        <v>0</v>
      </c>
      <c r="V76" s="21">
        <f>IF(AND(F76="Seasonal",K76&lt;Assumptions!$B$6,P76&gt;Assumptions!$B$8),1,0)</f>
        <v>1</v>
      </c>
      <c r="W76" s="18">
        <f>IF(U76=1,ROUND(MAX(0,Assumptions!$B$9*R76-J76),0),0)</f>
        <v>0</v>
      </c>
      <c r="X76" s="44" t="str">
        <f t="shared" si="10"/>
        <v>Markdown / clear</v>
      </c>
    </row>
    <row r="77" spans="1:24" x14ac:dyDescent="0.35">
      <c r="A77" s="43" t="s">
        <v>147</v>
      </c>
      <c r="B77" s="22" t="s">
        <v>68</v>
      </c>
      <c r="C77" s="40" t="str">
        <f>INDEX(Dim_Product!$B:B, MATCH($A77,Dim_Product!$A:$A,0))</f>
        <v>Broderie Top</v>
      </c>
      <c r="D77" s="40" t="str">
        <f>INDEX(Dim_Product!$D:D, MATCH($A77,Dim_Product!$A:$A,0))</f>
        <v>Tops</v>
      </c>
      <c r="E77" s="40" t="str">
        <f>INDEX(Dim_Product!$E:E, MATCH($A77,Dim_Product!$A:$A,0))</f>
        <v>White</v>
      </c>
      <c r="F77" s="40" t="str">
        <f>INDEX(Dim_Product!$F:F, MATCH($A77,Dim_Product!$A:$A,0))</f>
        <v>Seasonal</v>
      </c>
      <c r="G77" s="41">
        <f>INDEX(Dim_Product!$G:G, MATCH($A77,Dim_Product!$A:$A,0))</f>
        <v>29.99</v>
      </c>
      <c r="H77" s="18">
        <f>SUMIFS(Fact_Weekly!$D$2:$D$1500,Fact_Weekly!$B$2:$B$1500,$A77,Fact_Weekly!$C$2:$C$1500,$B77)</f>
        <v>146</v>
      </c>
      <c r="I77" s="18">
        <f>SUMIFS(Fact_Weekly!$E$2:$E$1500,Fact_Weekly!$B$2:$B$1500,$A77,Fact_Weekly!$C$2:$C$1500,$B77)</f>
        <v>66</v>
      </c>
      <c r="J77" s="18">
        <f t="shared" si="11"/>
        <v>80</v>
      </c>
      <c r="K77" s="19">
        <f t="shared" si="8"/>
        <v>0.45205479452054792</v>
      </c>
      <c r="L77" s="18">
        <f>SUMIFS(Fact_Weekly!$E$2:$E$1500,Fact_Weekly!$B$2:$B$1500,$A77,Fact_Weekly!$C$2:$C$1500,$B77,Fact_Weekly!$A$2:$A$1500,"&gt;="&amp;(Assumptions!$B$12-Assumptions!$B$11+1))</f>
        <v>12</v>
      </c>
      <c r="M77" s="42">
        <f>L77/Assumptions!$B$11</f>
        <v>3</v>
      </c>
      <c r="N77" s="18">
        <f>COUNTIFS(Fact_Weekly!$B$2:$B$1500,$A77,Fact_Weekly!$C$2:$C$1500,$B77,Fact_Weekly!$G$2:$G$1500,"&gt;0")</f>
        <v>12</v>
      </c>
      <c r="O77" s="42">
        <f t="shared" si="9"/>
        <v>5.5</v>
      </c>
      <c r="P77" s="42">
        <f>IF(M77&gt;0,J77/M77,IF(J77&gt;0,Assumptions!$B$12,0))</f>
        <v>26.666666666666668</v>
      </c>
      <c r="Q77" s="21">
        <f>IF(AND(N77&lt;Assumptions!$B$12,K77&gt;=0.99),1,0)</f>
        <v>0</v>
      </c>
      <c r="R77" s="42">
        <f t="shared" si="12"/>
        <v>3</v>
      </c>
      <c r="S77" s="42">
        <f>IF(Q77=1,(Assumptions!$B$12-N77)*(H77/Assumptions!$B$12),0)</f>
        <v>0</v>
      </c>
      <c r="T77" s="20">
        <f>S77*G77</f>
        <v>0</v>
      </c>
      <c r="U77" s="21">
        <f>IF(OR(K77&gt;=Assumptions!$B$5,Q77=1,AND(F77="Core",P77&lt;Assumptions!$B$7)),1,0)</f>
        <v>0</v>
      </c>
      <c r="V77" s="21">
        <f>IF(AND(F77="Seasonal",K77&lt;Assumptions!$B$6,P77&gt;Assumptions!$B$8),1,0)</f>
        <v>1</v>
      </c>
      <c r="W77" s="18">
        <f>IF(U77=1,ROUND(MAX(0,Assumptions!$B$9*R77-J77),0),0)</f>
        <v>0</v>
      </c>
      <c r="X77" s="44" t="str">
        <f t="shared" si="10"/>
        <v>Markdown / clear</v>
      </c>
    </row>
    <row r="78" spans="1:24" x14ac:dyDescent="0.35">
      <c r="A78" s="43" t="s">
        <v>150</v>
      </c>
      <c r="B78" s="22" t="s">
        <v>62</v>
      </c>
      <c r="C78" s="40" t="str">
        <f>INDEX(Dim_Product!$B:B, MATCH($A78,Dim_Product!$A:$A,0))</f>
        <v>Broderie Top</v>
      </c>
      <c r="D78" s="40" t="str">
        <f>INDEX(Dim_Product!$D:D, MATCH($A78,Dim_Product!$A:$A,0))</f>
        <v>Tops</v>
      </c>
      <c r="E78" s="40" t="str">
        <f>INDEX(Dim_Product!$E:E, MATCH($A78,Dim_Product!$A:$A,0))</f>
        <v>Lemon</v>
      </c>
      <c r="F78" s="40" t="str">
        <f>INDEX(Dim_Product!$F:F, MATCH($A78,Dim_Product!$A:$A,0))</f>
        <v>Seasonal</v>
      </c>
      <c r="G78" s="41">
        <f>INDEX(Dim_Product!$G:G, MATCH($A78,Dim_Product!$A:$A,0))</f>
        <v>29.99</v>
      </c>
      <c r="H78" s="18">
        <f>SUMIFS(Fact_Weekly!$D$2:$D$1500,Fact_Weekly!$B$2:$B$1500,$A78,Fact_Weekly!$C$2:$C$1500,$B78)</f>
        <v>167</v>
      </c>
      <c r="I78" s="18">
        <f>SUMIFS(Fact_Weekly!$E$2:$E$1500,Fact_Weekly!$B$2:$B$1500,$A78,Fact_Weekly!$C$2:$C$1500,$B78)</f>
        <v>70</v>
      </c>
      <c r="J78" s="18">
        <f t="shared" si="11"/>
        <v>97</v>
      </c>
      <c r="K78" s="19">
        <f t="shared" si="8"/>
        <v>0.41916167664670656</v>
      </c>
      <c r="L78" s="18">
        <f>SUMIFS(Fact_Weekly!$E$2:$E$1500,Fact_Weekly!$B$2:$B$1500,$A78,Fact_Weekly!$C$2:$C$1500,$B78,Fact_Weekly!$A$2:$A$1500,"&gt;="&amp;(Assumptions!$B$12-Assumptions!$B$11+1))</f>
        <v>13</v>
      </c>
      <c r="M78" s="42">
        <f>L78/Assumptions!$B$11</f>
        <v>3.25</v>
      </c>
      <c r="N78" s="18">
        <f>COUNTIFS(Fact_Weekly!$B$2:$B$1500,$A78,Fact_Weekly!$C$2:$C$1500,$B78,Fact_Weekly!$G$2:$G$1500,"&gt;0")</f>
        <v>12</v>
      </c>
      <c r="O78" s="42">
        <f t="shared" si="9"/>
        <v>5.833333333333333</v>
      </c>
      <c r="P78" s="42">
        <f>IF(M78&gt;0,J78/M78,IF(J78&gt;0,Assumptions!$B$12,0))</f>
        <v>29.846153846153847</v>
      </c>
      <c r="Q78" s="21">
        <f>IF(AND(N78&lt;Assumptions!$B$12,K78&gt;=0.99),1,0)</f>
        <v>0</v>
      </c>
      <c r="R78" s="42">
        <f t="shared" si="12"/>
        <v>3.25</v>
      </c>
      <c r="S78" s="42">
        <f>IF(Q78=1,(Assumptions!$B$12-N78)*(H78/Assumptions!$B$12),0)</f>
        <v>0</v>
      </c>
      <c r="T78" s="20">
        <f>S78*G78</f>
        <v>0</v>
      </c>
      <c r="U78" s="21">
        <f>IF(OR(K78&gt;=Assumptions!$B$5,Q78=1,AND(F78="Core",P78&lt;Assumptions!$B$7)),1,0)</f>
        <v>0</v>
      </c>
      <c r="V78" s="21">
        <f>IF(AND(F78="Seasonal",K78&lt;Assumptions!$B$6,P78&gt;Assumptions!$B$8),1,0)</f>
        <v>1</v>
      </c>
      <c r="W78" s="18">
        <f>IF(U78=1,ROUND(MAX(0,Assumptions!$B$9*R78-J78),0),0)</f>
        <v>0</v>
      </c>
      <c r="X78" s="44" t="str">
        <f t="shared" si="10"/>
        <v>Markdown / clear</v>
      </c>
    </row>
    <row r="79" spans="1:24" x14ac:dyDescent="0.35">
      <c r="A79" s="43" t="s">
        <v>150</v>
      </c>
      <c r="B79" s="22" t="s">
        <v>64</v>
      </c>
      <c r="C79" s="40" t="str">
        <f>INDEX(Dim_Product!$B:B, MATCH($A79,Dim_Product!$A:$A,0))</f>
        <v>Broderie Top</v>
      </c>
      <c r="D79" s="40" t="str">
        <f>INDEX(Dim_Product!$D:D, MATCH($A79,Dim_Product!$A:$A,0))</f>
        <v>Tops</v>
      </c>
      <c r="E79" s="40" t="str">
        <f>INDEX(Dim_Product!$E:E, MATCH($A79,Dim_Product!$A:$A,0))</f>
        <v>Lemon</v>
      </c>
      <c r="F79" s="40" t="str">
        <f>INDEX(Dim_Product!$F:F, MATCH($A79,Dim_Product!$A:$A,0))</f>
        <v>Seasonal</v>
      </c>
      <c r="G79" s="41">
        <f>INDEX(Dim_Product!$G:G, MATCH($A79,Dim_Product!$A:$A,0))</f>
        <v>29.99</v>
      </c>
      <c r="H79" s="18">
        <f>SUMIFS(Fact_Weekly!$D$2:$D$1500,Fact_Weekly!$B$2:$B$1500,$A79,Fact_Weekly!$C$2:$C$1500,$B79)</f>
        <v>196</v>
      </c>
      <c r="I79" s="18">
        <f>SUMIFS(Fact_Weekly!$E$2:$E$1500,Fact_Weekly!$B$2:$B$1500,$A79,Fact_Weekly!$C$2:$C$1500,$B79)</f>
        <v>100</v>
      </c>
      <c r="J79" s="18">
        <f t="shared" si="11"/>
        <v>96</v>
      </c>
      <c r="K79" s="19">
        <f t="shared" si="8"/>
        <v>0.51020408163265307</v>
      </c>
      <c r="L79" s="18">
        <f>SUMIFS(Fact_Weekly!$E$2:$E$1500,Fact_Weekly!$B$2:$B$1500,$A79,Fact_Weekly!$C$2:$C$1500,$B79,Fact_Weekly!$A$2:$A$1500,"&gt;="&amp;(Assumptions!$B$12-Assumptions!$B$11+1))</f>
        <v>21</v>
      </c>
      <c r="M79" s="42">
        <f>L79/Assumptions!$B$11</f>
        <v>5.25</v>
      </c>
      <c r="N79" s="18">
        <f>COUNTIFS(Fact_Weekly!$B$2:$B$1500,$A79,Fact_Weekly!$C$2:$C$1500,$B79,Fact_Weekly!$G$2:$G$1500,"&gt;0")</f>
        <v>12</v>
      </c>
      <c r="O79" s="42">
        <f t="shared" si="9"/>
        <v>8.3333333333333339</v>
      </c>
      <c r="P79" s="42">
        <f>IF(M79&gt;0,J79/M79,IF(J79&gt;0,Assumptions!$B$12,0))</f>
        <v>18.285714285714285</v>
      </c>
      <c r="Q79" s="21">
        <f>IF(AND(N79&lt;Assumptions!$B$12,K79&gt;=0.99),1,0)</f>
        <v>0</v>
      </c>
      <c r="R79" s="42">
        <f t="shared" si="12"/>
        <v>5.25</v>
      </c>
      <c r="S79" s="42">
        <f>IF(Q79=1,(Assumptions!$B$12-N79)*(H79/Assumptions!$B$12),0)</f>
        <v>0</v>
      </c>
      <c r="T79" s="20">
        <f>S79*G79</f>
        <v>0</v>
      </c>
      <c r="U79" s="21">
        <f>IF(OR(K79&gt;=Assumptions!$B$5,Q79=1,AND(F79="Core",P79&lt;Assumptions!$B$7)),1,0)</f>
        <v>0</v>
      </c>
      <c r="V79" s="21">
        <f>IF(AND(F79="Seasonal",K79&lt;Assumptions!$B$6,P79&gt;Assumptions!$B$8),1,0)</f>
        <v>1</v>
      </c>
      <c r="W79" s="18">
        <f>IF(U79=1,ROUND(MAX(0,Assumptions!$B$9*R79-J79),0),0)</f>
        <v>0</v>
      </c>
      <c r="X79" s="44" t="str">
        <f t="shared" si="10"/>
        <v>Markdown / clear</v>
      </c>
    </row>
    <row r="80" spans="1:24" x14ac:dyDescent="0.35">
      <c r="A80" s="43" t="s">
        <v>150</v>
      </c>
      <c r="B80" s="22" t="s">
        <v>66</v>
      </c>
      <c r="C80" s="40" t="str">
        <f>INDEX(Dim_Product!$B:B, MATCH($A80,Dim_Product!$A:$A,0))</f>
        <v>Broderie Top</v>
      </c>
      <c r="D80" s="40" t="str">
        <f>INDEX(Dim_Product!$D:D, MATCH($A80,Dim_Product!$A:$A,0))</f>
        <v>Tops</v>
      </c>
      <c r="E80" s="40" t="str">
        <f>INDEX(Dim_Product!$E:E, MATCH($A80,Dim_Product!$A:$A,0))</f>
        <v>Lemon</v>
      </c>
      <c r="F80" s="40" t="str">
        <f>INDEX(Dim_Product!$F:F, MATCH($A80,Dim_Product!$A:$A,0))</f>
        <v>Seasonal</v>
      </c>
      <c r="G80" s="41">
        <f>INDEX(Dim_Product!$G:G, MATCH($A80,Dim_Product!$A:$A,0))</f>
        <v>29.99</v>
      </c>
      <c r="H80" s="18">
        <f>SUMIFS(Fact_Weekly!$D$2:$D$1500,Fact_Weekly!$B$2:$B$1500,$A80,Fact_Weekly!$C$2:$C$1500,$B80)</f>
        <v>131</v>
      </c>
      <c r="I80" s="18">
        <f>SUMIFS(Fact_Weekly!$E$2:$E$1500,Fact_Weekly!$B$2:$B$1500,$A80,Fact_Weekly!$C$2:$C$1500,$B80)</f>
        <v>65</v>
      </c>
      <c r="J80" s="18">
        <f t="shared" si="11"/>
        <v>66</v>
      </c>
      <c r="K80" s="19">
        <f t="shared" si="8"/>
        <v>0.49618320610687022</v>
      </c>
      <c r="L80" s="18">
        <f>SUMIFS(Fact_Weekly!$E$2:$E$1500,Fact_Weekly!$B$2:$B$1500,$A80,Fact_Weekly!$C$2:$C$1500,$B80,Fact_Weekly!$A$2:$A$1500,"&gt;="&amp;(Assumptions!$B$12-Assumptions!$B$11+1))</f>
        <v>13</v>
      </c>
      <c r="M80" s="42">
        <f>L80/Assumptions!$B$11</f>
        <v>3.25</v>
      </c>
      <c r="N80" s="18">
        <f>COUNTIFS(Fact_Weekly!$B$2:$B$1500,$A80,Fact_Weekly!$C$2:$C$1500,$B80,Fact_Weekly!$G$2:$G$1500,"&gt;0")</f>
        <v>12</v>
      </c>
      <c r="O80" s="42">
        <f t="shared" si="9"/>
        <v>5.416666666666667</v>
      </c>
      <c r="P80" s="42">
        <f>IF(M80&gt;0,J80/M80,IF(J80&gt;0,Assumptions!$B$12,0))</f>
        <v>20.307692307692307</v>
      </c>
      <c r="Q80" s="21">
        <f>IF(AND(N80&lt;Assumptions!$B$12,K80&gt;=0.99),1,0)</f>
        <v>0</v>
      </c>
      <c r="R80" s="42">
        <f t="shared" si="12"/>
        <v>3.25</v>
      </c>
      <c r="S80" s="42">
        <f>IF(Q80=1,(Assumptions!$B$12-N80)*(H80/Assumptions!$B$12),0)</f>
        <v>0</v>
      </c>
      <c r="T80" s="20">
        <f>S80*G80</f>
        <v>0</v>
      </c>
      <c r="U80" s="21">
        <f>IF(OR(K80&gt;=Assumptions!$B$5,Q80=1,AND(F80="Core",P80&lt;Assumptions!$B$7)),1,0)</f>
        <v>0</v>
      </c>
      <c r="V80" s="21">
        <f>IF(AND(F80="Seasonal",K80&lt;Assumptions!$B$6,P80&gt;Assumptions!$B$8),1,0)</f>
        <v>1</v>
      </c>
      <c r="W80" s="18">
        <f>IF(U80=1,ROUND(MAX(0,Assumptions!$B$9*R80-J80),0),0)</f>
        <v>0</v>
      </c>
      <c r="X80" s="44" t="str">
        <f t="shared" si="10"/>
        <v>Markdown / clear</v>
      </c>
    </row>
    <row r="81" spans="1:24" x14ac:dyDescent="0.35">
      <c r="A81" s="43" t="s">
        <v>150</v>
      </c>
      <c r="B81" s="22" t="s">
        <v>68</v>
      </c>
      <c r="C81" s="40" t="str">
        <f>INDEX(Dim_Product!$B:B, MATCH($A81,Dim_Product!$A:$A,0))</f>
        <v>Broderie Top</v>
      </c>
      <c r="D81" s="40" t="str">
        <f>INDEX(Dim_Product!$D:D, MATCH($A81,Dim_Product!$A:$A,0))</f>
        <v>Tops</v>
      </c>
      <c r="E81" s="40" t="str">
        <f>INDEX(Dim_Product!$E:E, MATCH($A81,Dim_Product!$A:$A,0))</f>
        <v>Lemon</v>
      </c>
      <c r="F81" s="40" t="str">
        <f>INDEX(Dim_Product!$F:F, MATCH($A81,Dim_Product!$A:$A,0))</f>
        <v>Seasonal</v>
      </c>
      <c r="G81" s="41">
        <f>INDEX(Dim_Product!$G:G, MATCH($A81,Dim_Product!$A:$A,0))</f>
        <v>29.99</v>
      </c>
      <c r="H81" s="18">
        <f>SUMIFS(Fact_Weekly!$D$2:$D$1500,Fact_Weekly!$B$2:$B$1500,$A81,Fact_Weekly!$C$2:$C$1500,$B81)</f>
        <v>162</v>
      </c>
      <c r="I81" s="18">
        <f>SUMIFS(Fact_Weekly!$E$2:$E$1500,Fact_Weekly!$B$2:$B$1500,$A81,Fact_Weekly!$C$2:$C$1500,$B81)</f>
        <v>87</v>
      </c>
      <c r="J81" s="18">
        <f t="shared" si="11"/>
        <v>75</v>
      </c>
      <c r="K81" s="19">
        <f t="shared" si="8"/>
        <v>0.53703703703703709</v>
      </c>
      <c r="L81" s="18">
        <f>SUMIFS(Fact_Weekly!$E$2:$E$1500,Fact_Weekly!$B$2:$B$1500,$A81,Fact_Weekly!$C$2:$C$1500,$B81,Fact_Weekly!$A$2:$A$1500,"&gt;="&amp;(Assumptions!$B$12-Assumptions!$B$11+1))</f>
        <v>18</v>
      </c>
      <c r="M81" s="42">
        <f>L81/Assumptions!$B$11</f>
        <v>4.5</v>
      </c>
      <c r="N81" s="18">
        <f>COUNTIFS(Fact_Weekly!$B$2:$B$1500,$A81,Fact_Weekly!$C$2:$C$1500,$B81,Fact_Weekly!$G$2:$G$1500,"&gt;0")</f>
        <v>12</v>
      </c>
      <c r="O81" s="42">
        <f t="shared" si="9"/>
        <v>7.25</v>
      </c>
      <c r="P81" s="42">
        <f>IF(M81&gt;0,J81/M81,IF(J81&gt;0,Assumptions!$B$12,0))</f>
        <v>16.666666666666668</v>
      </c>
      <c r="Q81" s="21">
        <f>IF(AND(N81&lt;Assumptions!$B$12,K81&gt;=0.99),1,0)</f>
        <v>0</v>
      </c>
      <c r="R81" s="42">
        <f t="shared" si="12"/>
        <v>4.5</v>
      </c>
      <c r="S81" s="42">
        <f>IF(Q81=1,(Assumptions!$B$12-N81)*(H81/Assumptions!$B$12),0)</f>
        <v>0</v>
      </c>
      <c r="T81" s="20">
        <f>S81*G81</f>
        <v>0</v>
      </c>
      <c r="U81" s="21">
        <f>IF(OR(K81&gt;=Assumptions!$B$5,Q81=1,AND(F81="Core",P81&lt;Assumptions!$B$7)),1,0)</f>
        <v>0</v>
      </c>
      <c r="V81" s="21">
        <f>IF(AND(F81="Seasonal",K81&lt;Assumptions!$B$6,P81&gt;Assumptions!$B$8),1,0)</f>
        <v>1</v>
      </c>
      <c r="W81" s="18">
        <f>IF(U81=1,ROUND(MAX(0,Assumptions!$B$9*R81-J81),0),0)</f>
        <v>0</v>
      </c>
      <c r="X81" s="44" t="str">
        <f t="shared" si="10"/>
        <v>Markdown / clear</v>
      </c>
    </row>
    <row r="82" spans="1:24" x14ac:dyDescent="0.35">
      <c r="A82" s="43" t="s">
        <v>152</v>
      </c>
      <c r="B82" s="22" t="s">
        <v>62</v>
      </c>
      <c r="C82" s="40" t="str">
        <f>INDEX(Dim_Product!$B:B, MATCH($A82,Dim_Product!$A:$A,0))</f>
        <v>Knit Bodycon Dress</v>
      </c>
      <c r="D82" s="40" t="str">
        <f>INDEX(Dim_Product!$D:D, MATCH($A82,Dim_Product!$A:$A,0))</f>
        <v>Dresses</v>
      </c>
      <c r="E82" s="40" t="str">
        <f>INDEX(Dim_Product!$E:E, MATCH($A82,Dim_Product!$A:$A,0))</f>
        <v>Chocolate</v>
      </c>
      <c r="F82" s="40" t="str">
        <f>INDEX(Dim_Product!$F:F, MATCH($A82,Dim_Product!$A:$A,0))</f>
        <v>Seasonal</v>
      </c>
      <c r="G82" s="41">
        <f>INDEX(Dim_Product!$G:G, MATCH($A82,Dim_Product!$A:$A,0))</f>
        <v>42.99</v>
      </c>
      <c r="H82" s="18">
        <f>SUMIFS(Fact_Weekly!$D$2:$D$1500,Fact_Weekly!$B$2:$B$1500,$A82,Fact_Weekly!$C$2:$C$1500,$B82)</f>
        <v>149</v>
      </c>
      <c r="I82" s="18">
        <f>SUMIFS(Fact_Weekly!$E$2:$E$1500,Fact_Weekly!$B$2:$B$1500,$A82,Fact_Weekly!$C$2:$C$1500,$B82)</f>
        <v>69</v>
      </c>
      <c r="J82" s="18">
        <f t="shared" si="11"/>
        <v>80</v>
      </c>
      <c r="K82" s="19">
        <f t="shared" si="8"/>
        <v>0.46308724832214765</v>
      </c>
      <c r="L82" s="18">
        <f>SUMIFS(Fact_Weekly!$E$2:$E$1500,Fact_Weekly!$B$2:$B$1500,$A82,Fact_Weekly!$C$2:$C$1500,$B82,Fact_Weekly!$A$2:$A$1500,"&gt;="&amp;(Assumptions!$B$12-Assumptions!$B$11+1))</f>
        <v>14</v>
      </c>
      <c r="M82" s="42">
        <f>L82/Assumptions!$B$11</f>
        <v>3.5</v>
      </c>
      <c r="N82" s="18">
        <f>COUNTIFS(Fact_Weekly!$B$2:$B$1500,$A82,Fact_Weekly!$C$2:$C$1500,$B82,Fact_Weekly!$G$2:$G$1500,"&gt;0")</f>
        <v>12</v>
      </c>
      <c r="O82" s="42">
        <f t="shared" si="9"/>
        <v>5.75</v>
      </c>
      <c r="P82" s="42">
        <f>IF(M82&gt;0,J82/M82,IF(J82&gt;0,Assumptions!$B$12,0))</f>
        <v>22.857142857142858</v>
      </c>
      <c r="Q82" s="21">
        <f>IF(AND(N82&lt;Assumptions!$B$12,K82&gt;=0.99),1,0)</f>
        <v>0</v>
      </c>
      <c r="R82" s="42">
        <f t="shared" si="12"/>
        <v>3.5</v>
      </c>
      <c r="S82" s="42">
        <f>IF(Q82=1,(Assumptions!$B$12-N82)*(H82/Assumptions!$B$12),0)</f>
        <v>0</v>
      </c>
      <c r="T82" s="20">
        <f>S82*G82</f>
        <v>0</v>
      </c>
      <c r="U82" s="21">
        <f>IF(OR(K82&gt;=Assumptions!$B$5,Q82=1,AND(F82="Core",P82&lt;Assumptions!$B$7)),1,0)</f>
        <v>0</v>
      </c>
      <c r="V82" s="21">
        <f>IF(AND(F82="Seasonal",K82&lt;Assumptions!$B$6,P82&gt;Assumptions!$B$8),1,0)</f>
        <v>1</v>
      </c>
      <c r="W82" s="18">
        <f>IF(U82=1,ROUND(MAX(0,Assumptions!$B$9*R82-J82),0),0)</f>
        <v>0</v>
      </c>
      <c r="X82" s="44" t="str">
        <f t="shared" si="10"/>
        <v>Markdown / clear</v>
      </c>
    </row>
    <row r="83" spans="1:24" x14ac:dyDescent="0.35">
      <c r="A83" s="43" t="s">
        <v>152</v>
      </c>
      <c r="B83" s="22" t="s">
        <v>64</v>
      </c>
      <c r="C83" s="40" t="str">
        <f>INDEX(Dim_Product!$B:B, MATCH($A83,Dim_Product!$A:$A,0))</f>
        <v>Knit Bodycon Dress</v>
      </c>
      <c r="D83" s="40" t="str">
        <f>INDEX(Dim_Product!$D:D, MATCH($A83,Dim_Product!$A:$A,0))</f>
        <v>Dresses</v>
      </c>
      <c r="E83" s="40" t="str">
        <f>INDEX(Dim_Product!$E:E, MATCH($A83,Dim_Product!$A:$A,0))</f>
        <v>Chocolate</v>
      </c>
      <c r="F83" s="40" t="str">
        <f>INDEX(Dim_Product!$F:F, MATCH($A83,Dim_Product!$A:$A,0))</f>
        <v>Seasonal</v>
      </c>
      <c r="G83" s="41">
        <f>INDEX(Dim_Product!$G:G, MATCH($A83,Dim_Product!$A:$A,0))</f>
        <v>42.99</v>
      </c>
      <c r="H83" s="18">
        <f>SUMIFS(Fact_Weekly!$D$2:$D$1500,Fact_Weekly!$B$2:$B$1500,$A83,Fact_Weekly!$C$2:$C$1500,$B83)</f>
        <v>204</v>
      </c>
      <c r="I83" s="18">
        <f>SUMIFS(Fact_Weekly!$E$2:$E$1500,Fact_Weekly!$B$2:$B$1500,$A83,Fact_Weekly!$C$2:$C$1500,$B83)</f>
        <v>88</v>
      </c>
      <c r="J83" s="18">
        <f t="shared" si="11"/>
        <v>116</v>
      </c>
      <c r="K83" s="19">
        <f t="shared" si="8"/>
        <v>0.43137254901960786</v>
      </c>
      <c r="L83" s="18">
        <f>SUMIFS(Fact_Weekly!$E$2:$E$1500,Fact_Weekly!$B$2:$B$1500,$A83,Fact_Weekly!$C$2:$C$1500,$B83,Fact_Weekly!$A$2:$A$1500,"&gt;="&amp;(Assumptions!$B$12-Assumptions!$B$11+1))</f>
        <v>15</v>
      </c>
      <c r="M83" s="42">
        <f>L83/Assumptions!$B$11</f>
        <v>3.75</v>
      </c>
      <c r="N83" s="18">
        <f>COUNTIFS(Fact_Weekly!$B$2:$B$1500,$A83,Fact_Weekly!$C$2:$C$1500,$B83,Fact_Weekly!$G$2:$G$1500,"&gt;0")</f>
        <v>12</v>
      </c>
      <c r="O83" s="42">
        <f t="shared" si="9"/>
        <v>7.333333333333333</v>
      </c>
      <c r="P83" s="42">
        <f>IF(M83&gt;0,J83/M83,IF(J83&gt;0,Assumptions!$B$12,0))</f>
        <v>30.933333333333334</v>
      </c>
      <c r="Q83" s="21">
        <f>IF(AND(N83&lt;Assumptions!$B$12,K83&gt;=0.99),1,0)</f>
        <v>0</v>
      </c>
      <c r="R83" s="42">
        <f t="shared" si="12"/>
        <v>3.75</v>
      </c>
      <c r="S83" s="42">
        <f>IF(Q83=1,(Assumptions!$B$12-N83)*(H83/Assumptions!$B$12),0)</f>
        <v>0</v>
      </c>
      <c r="T83" s="20">
        <f>S83*G83</f>
        <v>0</v>
      </c>
      <c r="U83" s="21">
        <f>IF(OR(K83&gt;=Assumptions!$B$5,Q83=1,AND(F83="Core",P83&lt;Assumptions!$B$7)),1,0)</f>
        <v>0</v>
      </c>
      <c r="V83" s="21">
        <f>IF(AND(F83="Seasonal",K83&lt;Assumptions!$B$6,P83&gt;Assumptions!$B$8),1,0)</f>
        <v>1</v>
      </c>
      <c r="W83" s="18">
        <f>IF(U83=1,ROUND(MAX(0,Assumptions!$B$9*R83-J83),0),0)</f>
        <v>0</v>
      </c>
      <c r="X83" s="44" t="str">
        <f t="shared" si="10"/>
        <v>Markdown / clear</v>
      </c>
    </row>
    <row r="84" spans="1:24" x14ac:dyDescent="0.35">
      <c r="A84" s="43" t="s">
        <v>152</v>
      </c>
      <c r="B84" s="22" t="s">
        <v>66</v>
      </c>
      <c r="C84" s="40" t="str">
        <f>INDEX(Dim_Product!$B:B, MATCH($A84,Dim_Product!$A:$A,0))</f>
        <v>Knit Bodycon Dress</v>
      </c>
      <c r="D84" s="40" t="str">
        <f>INDEX(Dim_Product!$D:D, MATCH($A84,Dim_Product!$A:$A,0))</f>
        <v>Dresses</v>
      </c>
      <c r="E84" s="40" t="str">
        <f>INDEX(Dim_Product!$E:E, MATCH($A84,Dim_Product!$A:$A,0))</f>
        <v>Chocolate</v>
      </c>
      <c r="F84" s="40" t="str">
        <f>INDEX(Dim_Product!$F:F, MATCH($A84,Dim_Product!$A:$A,0))</f>
        <v>Seasonal</v>
      </c>
      <c r="G84" s="41">
        <f>INDEX(Dim_Product!$G:G, MATCH($A84,Dim_Product!$A:$A,0))</f>
        <v>42.99</v>
      </c>
      <c r="H84" s="18">
        <f>SUMIFS(Fact_Weekly!$D$2:$D$1500,Fact_Weekly!$B$2:$B$1500,$A84,Fact_Weekly!$C$2:$C$1500,$B84)</f>
        <v>111</v>
      </c>
      <c r="I84" s="18">
        <f>SUMIFS(Fact_Weekly!$E$2:$E$1500,Fact_Weekly!$B$2:$B$1500,$A84,Fact_Weekly!$C$2:$C$1500,$B84)</f>
        <v>56</v>
      </c>
      <c r="J84" s="18">
        <f t="shared" si="11"/>
        <v>55</v>
      </c>
      <c r="K84" s="19">
        <f t="shared" si="8"/>
        <v>0.50450450450450446</v>
      </c>
      <c r="L84" s="18">
        <f>SUMIFS(Fact_Weekly!$E$2:$E$1500,Fact_Weekly!$B$2:$B$1500,$A84,Fact_Weekly!$C$2:$C$1500,$B84,Fact_Weekly!$A$2:$A$1500,"&gt;="&amp;(Assumptions!$B$12-Assumptions!$B$11+1))</f>
        <v>10</v>
      </c>
      <c r="M84" s="42">
        <f>L84/Assumptions!$B$11</f>
        <v>2.5</v>
      </c>
      <c r="N84" s="18">
        <f>COUNTIFS(Fact_Weekly!$B$2:$B$1500,$A84,Fact_Weekly!$C$2:$C$1500,$B84,Fact_Weekly!$G$2:$G$1500,"&gt;0")</f>
        <v>12</v>
      </c>
      <c r="O84" s="42">
        <f t="shared" si="9"/>
        <v>4.666666666666667</v>
      </c>
      <c r="P84" s="42">
        <f>IF(M84&gt;0,J84/M84,IF(J84&gt;0,Assumptions!$B$12,0))</f>
        <v>22</v>
      </c>
      <c r="Q84" s="21">
        <f>IF(AND(N84&lt;Assumptions!$B$12,K84&gt;=0.99),1,0)</f>
        <v>0</v>
      </c>
      <c r="R84" s="42">
        <f t="shared" si="12"/>
        <v>2.5</v>
      </c>
      <c r="S84" s="42">
        <f>IF(Q84=1,(Assumptions!$B$12-N84)*(H84/Assumptions!$B$12),0)</f>
        <v>0</v>
      </c>
      <c r="T84" s="20">
        <f>S84*G84</f>
        <v>0</v>
      </c>
      <c r="U84" s="21">
        <f>IF(OR(K84&gt;=Assumptions!$B$5,Q84=1,AND(F84="Core",P84&lt;Assumptions!$B$7)),1,0)</f>
        <v>0</v>
      </c>
      <c r="V84" s="21">
        <f>IF(AND(F84="Seasonal",K84&lt;Assumptions!$B$6,P84&gt;Assumptions!$B$8),1,0)</f>
        <v>1</v>
      </c>
      <c r="W84" s="18">
        <f>IF(U84=1,ROUND(MAX(0,Assumptions!$B$9*R84-J84),0),0)</f>
        <v>0</v>
      </c>
      <c r="X84" s="44" t="str">
        <f t="shared" si="10"/>
        <v>Markdown / clear</v>
      </c>
    </row>
    <row r="85" spans="1:24" x14ac:dyDescent="0.35">
      <c r="A85" s="43" t="s">
        <v>152</v>
      </c>
      <c r="B85" s="22" t="s">
        <v>68</v>
      </c>
      <c r="C85" s="40" t="str">
        <f>INDEX(Dim_Product!$B:B, MATCH($A85,Dim_Product!$A:$A,0))</f>
        <v>Knit Bodycon Dress</v>
      </c>
      <c r="D85" s="40" t="str">
        <f>INDEX(Dim_Product!$D:D, MATCH($A85,Dim_Product!$A:$A,0))</f>
        <v>Dresses</v>
      </c>
      <c r="E85" s="40" t="str">
        <f>INDEX(Dim_Product!$E:E, MATCH($A85,Dim_Product!$A:$A,0))</f>
        <v>Chocolate</v>
      </c>
      <c r="F85" s="40" t="str">
        <f>INDEX(Dim_Product!$F:F, MATCH($A85,Dim_Product!$A:$A,0))</f>
        <v>Seasonal</v>
      </c>
      <c r="G85" s="41">
        <f>INDEX(Dim_Product!$G:G, MATCH($A85,Dim_Product!$A:$A,0))</f>
        <v>42.99</v>
      </c>
      <c r="H85" s="18">
        <f>SUMIFS(Fact_Weekly!$D$2:$D$1500,Fact_Weekly!$B$2:$B$1500,$A85,Fact_Weekly!$C$2:$C$1500,$B85)</f>
        <v>154</v>
      </c>
      <c r="I85" s="18">
        <f>SUMIFS(Fact_Weekly!$E$2:$E$1500,Fact_Weekly!$B$2:$B$1500,$A85,Fact_Weekly!$C$2:$C$1500,$B85)</f>
        <v>77</v>
      </c>
      <c r="J85" s="18">
        <f t="shared" si="11"/>
        <v>77</v>
      </c>
      <c r="K85" s="19">
        <f t="shared" si="8"/>
        <v>0.5</v>
      </c>
      <c r="L85" s="18">
        <f>SUMIFS(Fact_Weekly!$E$2:$E$1500,Fact_Weekly!$B$2:$B$1500,$A85,Fact_Weekly!$C$2:$C$1500,$B85,Fact_Weekly!$A$2:$A$1500,"&gt;="&amp;(Assumptions!$B$12-Assumptions!$B$11+1))</f>
        <v>18</v>
      </c>
      <c r="M85" s="42">
        <f>L85/Assumptions!$B$11</f>
        <v>4.5</v>
      </c>
      <c r="N85" s="18">
        <f>COUNTIFS(Fact_Weekly!$B$2:$B$1500,$A85,Fact_Weekly!$C$2:$C$1500,$B85,Fact_Weekly!$G$2:$G$1500,"&gt;0")</f>
        <v>12</v>
      </c>
      <c r="O85" s="42">
        <f t="shared" si="9"/>
        <v>6.416666666666667</v>
      </c>
      <c r="P85" s="42">
        <f>IF(M85&gt;0,J85/M85,IF(J85&gt;0,Assumptions!$B$12,0))</f>
        <v>17.111111111111111</v>
      </c>
      <c r="Q85" s="21">
        <f>IF(AND(N85&lt;Assumptions!$B$12,K85&gt;=0.99),1,0)</f>
        <v>0</v>
      </c>
      <c r="R85" s="42">
        <f t="shared" si="12"/>
        <v>4.5</v>
      </c>
      <c r="S85" s="42">
        <f>IF(Q85=1,(Assumptions!$B$12-N85)*(H85/Assumptions!$B$12),0)</f>
        <v>0</v>
      </c>
      <c r="T85" s="20">
        <f>S85*G85</f>
        <v>0</v>
      </c>
      <c r="U85" s="21">
        <f>IF(OR(K85&gt;=Assumptions!$B$5,Q85=1,AND(F85="Core",P85&lt;Assumptions!$B$7)),1,0)</f>
        <v>0</v>
      </c>
      <c r="V85" s="21">
        <f>IF(AND(F85="Seasonal",K85&lt;Assumptions!$B$6,P85&gt;Assumptions!$B$8),1,0)</f>
        <v>1</v>
      </c>
      <c r="W85" s="18">
        <f>IF(U85=1,ROUND(MAX(0,Assumptions!$B$9*R85-J85),0),0)</f>
        <v>0</v>
      </c>
      <c r="X85" s="44" t="str">
        <f t="shared" si="10"/>
        <v>Markdown / clear</v>
      </c>
    </row>
    <row r="86" spans="1:24" x14ac:dyDescent="0.35">
      <c r="A86" s="43" t="s">
        <v>156</v>
      </c>
      <c r="B86" s="22" t="s">
        <v>62</v>
      </c>
      <c r="C86" s="40" t="str">
        <f>INDEX(Dim_Product!$B:B, MATCH($A86,Dim_Product!$A:$A,0))</f>
        <v>Knit Bodycon Dress</v>
      </c>
      <c r="D86" s="40" t="str">
        <f>INDEX(Dim_Product!$D:D, MATCH($A86,Dim_Product!$A:$A,0))</f>
        <v>Dresses</v>
      </c>
      <c r="E86" s="40" t="str">
        <f>INDEX(Dim_Product!$E:E, MATCH($A86,Dim_Product!$A:$A,0))</f>
        <v>Sage</v>
      </c>
      <c r="F86" s="40" t="str">
        <f>INDEX(Dim_Product!$F:F, MATCH($A86,Dim_Product!$A:$A,0))</f>
        <v>Seasonal</v>
      </c>
      <c r="G86" s="41">
        <f>INDEX(Dim_Product!$G:G, MATCH($A86,Dim_Product!$A:$A,0))</f>
        <v>42.99</v>
      </c>
      <c r="H86" s="18">
        <f>SUMIFS(Fact_Weekly!$D$2:$D$1500,Fact_Weekly!$B$2:$B$1500,$A86,Fact_Weekly!$C$2:$C$1500,$B86)</f>
        <v>171</v>
      </c>
      <c r="I86" s="18">
        <f>SUMIFS(Fact_Weekly!$E$2:$E$1500,Fact_Weekly!$B$2:$B$1500,$A86,Fact_Weekly!$C$2:$C$1500,$B86)</f>
        <v>67</v>
      </c>
      <c r="J86" s="18">
        <f t="shared" si="11"/>
        <v>104</v>
      </c>
      <c r="K86" s="19">
        <f t="shared" si="8"/>
        <v>0.391812865497076</v>
      </c>
      <c r="L86" s="18">
        <f>SUMIFS(Fact_Weekly!$E$2:$E$1500,Fact_Weekly!$B$2:$B$1500,$A86,Fact_Weekly!$C$2:$C$1500,$B86,Fact_Weekly!$A$2:$A$1500,"&gt;="&amp;(Assumptions!$B$12-Assumptions!$B$11+1))</f>
        <v>13</v>
      </c>
      <c r="M86" s="42">
        <f>L86/Assumptions!$B$11</f>
        <v>3.25</v>
      </c>
      <c r="N86" s="18">
        <f>COUNTIFS(Fact_Weekly!$B$2:$B$1500,$A86,Fact_Weekly!$C$2:$C$1500,$B86,Fact_Weekly!$G$2:$G$1500,"&gt;0")</f>
        <v>12</v>
      </c>
      <c r="O86" s="42">
        <f t="shared" si="9"/>
        <v>5.583333333333333</v>
      </c>
      <c r="P86" s="42">
        <f>IF(M86&gt;0,J86/M86,IF(J86&gt;0,Assumptions!$B$12,0))</f>
        <v>32</v>
      </c>
      <c r="Q86" s="21">
        <f>IF(AND(N86&lt;Assumptions!$B$12,K86&gt;=0.99),1,0)</f>
        <v>0</v>
      </c>
      <c r="R86" s="42">
        <f t="shared" si="12"/>
        <v>3.25</v>
      </c>
      <c r="S86" s="42">
        <f>IF(Q86=1,(Assumptions!$B$12-N86)*(H86/Assumptions!$B$12),0)</f>
        <v>0</v>
      </c>
      <c r="T86" s="20">
        <f>S86*G86</f>
        <v>0</v>
      </c>
      <c r="U86" s="21">
        <f>IF(OR(K86&gt;=Assumptions!$B$5,Q86=1,AND(F86="Core",P86&lt;Assumptions!$B$7)),1,0)</f>
        <v>0</v>
      </c>
      <c r="V86" s="21">
        <f>IF(AND(F86="Seasonal",K86&lt;Assumptions!$B$6,P86&gt;Assumptions!$B$8),1,0)</f>
        <v>1</v>
      </c>
      <c r="W86" s="18">
        <f>IF(U86=1,ROUND(MAX(0,Assumptions!$B$9*R86-J86),0),0)</f>
        <v>0</v>
      </c>
      <c r="X86" s="44" t="str">
        <f t="shared" si="10"/>
        <v>Markdown / clear</v>
      </c>
    </row>
    <row r="87" spans="1:24" x14ac:dyDescent="0.35">
      <c r="A87" s="43" t="s">
        <v>156</v>
      </c>
      <c r="B87" s="22" t="s">
        <v>64</v>
      </c>
      <c r="C87" s="40" t="str">
        <f>INDEX(Dim_Product!$B:B, MATCH($A87,Dim_Product!$A:$A,0))</f>
        <v>Knit Bodycon Dress</v>
      </c>
      <c r="D87" s="40" t="str">
        <f>INDEX(Dim_Product!$D:D, MATCH($A87,Dim_Product!$A:$A,0))</f>
        <v>Dresses</v>
      </c>
      <c r="E87" s="40" t="str">
        <f>INDEX(Dim_Product!$E:E, MATCH($A87,Dim_Product!$A:$A,0))</f>
        <v>Sage</v>
      </c>
      <c r="F87" s="40" t="str">
        <f>INDEX(Dim_Product!$F:F, MATCH($A87,Dim_Product!$A:$A,0))</f>
        <v>Seasonal</v>
      </c>
      <c r="G87" s="41">
        <f>INDEX(Dim_Product!$G:G, MATCH($A87,Dim_Product!$A:$A,0))</f>
        <v>42.99</v>
      </c>
      <c r="H87" s="18">
        <f>SUMIFS(Fact_Weekly!$D$2:$D$1500,Fact_Weekly!$B$2:$B$1500,$A87,Fact_Weekly!$C$2:$C$1500,$B87)</f>
        <v>215</v>
      </c>
      <c r="I87" s="18">
        <f>SUMIFS(Fact_Weekly!$E$2:$E$1500,Fact_Weekly!$B$2:$B$1500,$A87,Fact_Weekly!$C$2:$C$1500,$B87)</f>
        <v>103</v>
      </c>
      <c r="J87" s="18">
        <f t="shared" si="11"/>
        <v>112</v>
      </c>
      <c r="K87" s="19">
        <f t="shared" si="8"/>
        <v>0.47906976744186047</v>
      </c>
      <c r="L87" s="18">
        <f>SUMIFS(Fact_Weekly!$E$2:$E$1500,Fact_Weekly!$B$2:$B$1500,$A87,Fact_Weekly!$C$2:$C$1500,$B87,Fact_Weekly!$A$2:$A$1500,"&gt;="&amp;(Assumptions!$B$12-Assumptions!$B$11+1))</f>
        <v>20</v>
      </c>
      <c r="M87" s="42">
        <f>L87/Assumptions!$B$11</f>
        <v>5</v>
      </c>
      <c r="N87" s="18">
        <f>COUNTIFS(Fact_Weekly!$B$2:$B$1500,$A87,Fact_Weekly!$C$2:$C$1500,$B87,Fact_Weekly!$G$2:$G$1500,"&gt;0")</f>
        <v>12</v>
      </c>
      <c r="O87" s="42">
        <f t="shared" si="9"/>
        <v>8.5833333333333339</v>
      </c>
      <c r="P87" s="42">
        <f>IF(M87&gt;0,J87/M87,IF(J87&gt;0,Assumptions!$B$12,0))</f>
        <v>22.4</v>
      </c>
      <c r="Q87" s="21">
        <f>IF(AND(N87&lt;Assumptions!$B$12,K87&gt;=0.99),1,0)</f>
        <v>0</v>
      </c>
      <c r="R87" s="42">
        <f t="shared" si="12"/>
        <v>5</v>
      </c>
      <c r="S87" s="42">
        <f>IF(Q87=1,(Assumptions!$B$12-N87)*(H87/Assumptions!$B$12),0)</f>
        <v>0</v>
      </c>
      <c r="T87" s="20">
        <f>S87*G87</f>
        <v>0</v>
      </c>
      <c r="U87" s="21">
        <f>IF(OR(K87&gt;=Assumptions!$B$5,Q87=1,AND(F87="Core",P87&lt;Assumptions!$B$7)),1,0)</f>
        <v>0</v>
      </c>
      <c r="V87" s="21">
        <f>IF(AND(F87="Seasonal",K87&lt;Assumptions!$B$6,P87&gt;Assumptions!$B$8),1,0)</f>
        <v>1</v>
      </c>
      <c r="W87" s="18">
        <f>IF(U87=1,ROUND(MAX(0,Assumptions!$B$9*R87-J87),0),0)</f>
        <v>0</v>
      </c>
      <c r="X87" s="44" t="str">
        <f t="shared" si="10"/>
        <v>Markdown / clear</v>
      </c>
    </row>
    <row r="88" spans="1:24" x14ac:dyDescent="0.35">
      <c r="A88" s="43" t="s">
        <v>156</v>
      </c>
      <c r="B88" s="22" t="s">
        <v>66</v>
      </c>
      <c r="C88" s="40" t="str">
        <f>INDEX(Dim_Product!$B:B, MATCH($A88,Dim_Product!$A:$A,0))</f>
        <v>Knit Bodycon Dress</v>
      </c>
      <c r="D88" s="40" t="str">
        <f>INDEX(Dim_Product!$D:D, MATCH($A88,Dim_Product!$A:$A,0))</f>
        <v>Dresses</v>
      </c>
      <c r="E88" s="40" t="str">
        <f>INDEX(Dim_Product!$E:E, MATCH($A88,Dim_Product!$A:$A,0))</f>
        <v>Sage</v>
      </c>
      <c r="F88" s="40" t="str">
        <f>INDEX(Dim_Product!$F:F, MATCH($A88,Dim_Product!$A:$A,0))</f>
        <v>Seasonal</v>
      </c>
      <c r="G88" s="41">
        <f>INDEX(Dim_Product!$G:G, MATCH($A88,Dim_Product!$A:$A,0))</f>
        <v>42.99</v>
      </c>
      <c r="H88" s="18">
        <f>SUMIFS(Fact_Weekly!$D$2:$D$1500,Fact_Weekly!$B$2:$B$1500,$A88,Fact_Weekly!$C$2:$C$1500,$B88)</f>
        <v>142</v>
      </c>
      <c r="I88" s="18">
        <f>SUMIFS(Fact_Weekly!$E$2:$E$1500,Fact_Weekly!$B$2:$B$1500,$A88,Fact_Weekly!$C$2:$C$1500,$B88)</f>
        <v>62</v>
      </c>
      <c r="J88" s="18">
        <f t="shared" si="11"/>
        <v>80</v>
      </c>
      <c r="K88" s="19">
        <f t="shared" si="8"/>
        <v>0.43661971830985913</v>
      </c>
      <c r="L88" s="18">
        <f>SUMIFS(Fact_Weekly!$E$2:$E$1500,Fact_Weekly!$B$2:$B$1500,$A88,Fact_Weekly!$C$2:$C$1500,$B88,Fact_Weekly!$A$2:$A$1500,"&gt;="&amp;(Assumptions!$B$12-Assumptions!$B$11+1))</f>
        <v>12</v>
      </c>
      <c r="M88" s="42">
        <f>L88/Assumptions!$B$11</f>
        <v>3</v>
      </c>
      <c r="N88" s="18">
        <f>COUNTIFS(Fact_Weekly!$B$2:$B$1500,$A88,Fact_Weekly!$C$2:$C$1500,$B88,Fact_Weekly!$G$2:$G$1500,"&gt;0")</f>
        <v>12</v>
      </c>
      <c r="O88" s="42">
        <f t="shared" si="9"/>
        <v>5.166666666666667</v>
      </c>
      <c r="P88" s="42">
        <f>IF(M88&gt;0,J88/M88,IF(J88&gt;0,Assumptions!$B$12,0))</f>
        <v>26.666666666666668</v>
      </c>
      <c r="Q88" s="21">
        <f>IF(AND(N88&lt;Assumptions!$B$12,K88&gt;=0.99),1,0)</f>
        <v>0</v>
      </c>
      <c r="R88" s="42">
        <f t="shared" si="12"/>
        <v>3</v>
      </c>
      <c r="S88" s="42">
        <f>IF(Q88=1,(Assumptions!$B$12-N88)*(H88/Assumptions!$B$12),0)</f>
        <v>0</v>
      </c>
      <c r="T88" s="20">
        <f>S88*G88</f>
        <v>0</v>
      </c>
      <c r="U88" s="21">
        <f>IF(OR(K88&gt;=Assumptions!$B$5,Q88=1,AND(F88="Core",P88&lt;Assumptions!$B$7)),1,0)</f>
        <v>0</v>
      </c>
      <c r="V88" s="21">
        <f>IF(AND(F88="Seasonal",K88&lt;Assumptions!$B$6,P88&gt;Assumptions!$B$8),1,0)</f>
        <v>1</v>
      </c>
      <c r="W88" s="18">
        <f>IF(U88=1,ROUND(MAX(0,Assumptions!$B$9*R88-J88),0),0)</f>
        <v>0</v>
      </c>
      <c r="X88" s="44" t="str">
        <f t="shared" si="10"/>
        <v>Markdown / clear</v>
      </c>
    </row>
    <row r="89" spans="1:24" x14ac:dyDescent="0.35">
      <c r="A89" s="43" t="s">
        <v>156</v>
      </c>
      <c r="B89" s="22" t="s">
        <v>68</v>
      </c>
      <c r="C89" s="40" t="str">
        <f>INDEX(Dim_Product!$B:B, MATCH($A89,Dim_Product!$A:$A,0))</f>
        <v>Knit Bodycon Dress</v>
      </c>
      <c r="D89" s="40" t="str">
        <f>INDEX(Dim_Product!$D:D, MATCH($A89,Dim_Product!$A:$A,0))</f>
        <v>Dresses</v>
      </c>
      <c r="E89" s="40" t="str">
        <f>INDEX(Dim_Product!$E:E, MATCH($A89,Dim_Product!$A:$A,0))</f>
        <v>Sage</v>
      </c>
      <c r="F89" s="40" t="str">
        <f>INDEX(Dim_Product!$F:F, MATCH($A89,Dim_Product!$A:$A,0))</f>
        <v>Seasonal</v>
      </c>
      <c r="G89" s="41">
        <f>INDEX(Dim_Product!$G:G, MATCH($A89,Dim_Product!$A:$A,0))</f>
        <v>42.99</v>
      </c>
      <c r="H89" s="18">
        <f>SUMIFS(Fact_Weekly!$D$2:$D$1500,Fact_Weekly!$B$2:$B$1500,$A89,Fact_Weekly!$C$2:$C$1500,$B89)</f>
        <v>196</v>
      </c>
      <c r="I89" s="18">
        <f>SUMIFS(Fact_Weekly!$E$2:$E$1500,Fact_Weekly!$B$2:$B$1500,$A89,Fact_Weekly!$C$2:$C$1500,$B89)</f>
        <v>91</v>
      </c>
      <c r="J89" s="18">
        <f t="shared" si="11"/>
        <v>105</v>
      </c>
      <c r="K89" s="19">
        <f t="shared" si="8"/>
        <v>0.4642857142857143</v>
      </c>
      <c r="L89" s="18">
        <f>SUMIFS(Fact_Weekly!$E$2:$E$1500,Fact_Weekly!$B$2:$B$1500,$A89,Fact_Weekly!$C$2:$C$1500,$B89,Fact_Weekly!$A$2:$A$1500,"&gt;="&amp;(Assumptions!$B$12-Assumptions!$B$11+1))</f>
        <v>19</v>
      </c>
      <c r="M89" s="42">
        <f>L89/Assumptions!$B$11</f>
        <v>4.75</v>
      </c>
      <c r="N89" s="18">
        <f>COUNTIFS(Fact_Weekly!$B$2:$B$1500,$A89,Fact_Weekly!$C$2:$C$1500,$B89,Fact_Weekly!$G$2:$G$1500,"&gt;0")</f>
        <v>12</v>
      </c>
      <c r="O89" s="42">
        <f t="shared" si="9"/>
        <v>7.583333333333333</v>
      </c>
      <c r="P89" s="42">
        <f>IF(M89&gt;0,J89/M89,IF(J89&gt;0,Assumptions!$B$12,0))</f>
        <v>22.105263157894736</v>
      </c>
      <c r="Q89" s="21">
        <f>IF(AND(N89&lt;Assumptions!$B$12,K89&gt;=0.99),1,0)</f>
        <v>0</v>
      </c>
      <c r="R89" s="42">
        <f t="shared" si="12"/>
        <v>4.75</v>
      </c>
      <c r="S89" s="42">
        <f>IF(Q89=1,(Assumptions!$B$12-N89)*(H89/Assumptions!$B$12),0)</f>
        <v>0</v>
      </c>
      <c r="T89" s="20">
        <f>S89*G89</f>
        <v>0</v>
      </c>
      <c r="U89" s="21">
        <f>IF(OR(K89&gt;=Assumptions!$B$5,Q89=1,AND(F89="Core",P89&lt;Assumptions!$B$7)),1,0)</f>
        <v>0</v>
      </c>
      <c r="V89" s="21">
        <f>IF(AND(F89="Seasonal",K89&lt;Assumptions!$B$6,P89&gt;Assumptions!$B$8),1,0)</f>
        <v>1</v>
      </c>
      <c r="W89" s="18">
        <f>IF(U89=1,ROUND(MAX(0,Assumptions!$B$9*R89-J89),0),0)</f>
        <v>0</v>
      </c>
      <c r="X89" s="44" t="str">
        <f t="shared" si="10"/>
        <v>Markdown / clear</v>
      </c>
    </row>
    <row r="90" spans="1:24" x14ac:dyDescent="0.35">
      <c r="A90" s="43" t="s">
        <v>158</v>
      </c>
      <c r="B90" s="22" t="s">
        <v>62</v>
      </c>
      <c r="C90" s="40" t="str">
        <f>INDEX(Dim_Product!$B:B, MATCH($A90,Dim_Product!$A:$A,0))</f>
        <v>Cropped Blazer</v>
      </c>
      <c r="D90" s="40" t="str">
        <f>INDEX(Dim_Product!$D:D, MATCH($A90,Dim_Product!$A:$A,0))</f>
        <v>Outerwear</v>
      </c>
      <c r="E90" s="40" t="str">
        <f>INDEX(Dim_Product!$E:E, MATCH($A90,Dim_Product!$A:$A,0))</f>
        <v>Black</v>
      </c>
      <c r="F90" s="40" t="str">
        <f>INDEX(Dim_Product!$F:F, MATCH($A90,Dim_Product!$A:$A,0))</f>
        <v>Seasonal</v>
      </c>
      <c r="G90" s="41">
        <f>INDEX(Dim_Product!$G:G, MATCH($A90,Dim_Product!$A:$A,0))</f>
        <v>59.99</v>
      </c>
      <c r="H90" s="18">
        <f>SUMIFS(Fact_Weekly!$D$2:$D$1500,Fact_Weekly!$B$2:$B$1500,$A90,Fact_Weekly!$C$2:$C$1500,$B90)</f>
        <v>148</v>
      </c>
      <c r="I90" s="18">
        <f>SUMIFS(Fact_Weekly!$E$2:$E$1500,Fact_Weekly!$B$2:$B$1500,$A90,Fact_Weekly!$C$2:$C$1500,$B90)</f>
        <v>65</v>
      </c>
      <c r="J90" s="18">
        <f t="shared" si="11"/>
        <v>83</v>
      </c>
      <c r="K90" s="19">
        <f t="shared" si="8"/>
        <v>0.4391891891891892</v>
      </c>
      <c r="L90" s="18">
        <f>SUMIFS(Fact_Weekly!$E$2:$E$1500,Fact_Weekly!$B$2:$B$1500,$A90,Fact_Weekly!$C$2:$C$1500,$B90,Fact_Weekly!$A$2:$A$1500,"&gt;="&amp;(Assumptions!$B$12-Assumptions!$B$11+1))</f>
        <v>15</v>
      </c>
      <c r="M90" s="42">
        <f>L90/Assumptions!$B$11</f>
        <v>3.75</v>
      </c>
      <c r="N90" s="18">
        <f>COUNTIFS(Fact_Weekly!$B$2:$B$1500,$A90,Fact_Weekly!$C$2:$C$1500,$B90,Fact_Weekly!$G$2:$G$1500,"&gt;0")</f>
        <v>12</v>
      </c>
      <c r="O90" s="42">
        <f t="shared" si="9"/>
        <v>5.416666666666667</v>
      </c>
      <c r="P90" s="42">
        <f>IF(M90&gt;0,J90/M90,IF(J90&gt;0,Assumptions!$B$12,0))</f>
        <v>22.133333333333333</v>
      </c>
      <c r="Q90" s="21">
        <f>IF(AND(N90&lt;Assumptions!$B$12,K90&gt;=0.99),1,0)</f>
        <v>0</v>
      </c>
      <c r="R90" s="42">
        <f t="shared" si="12"/>
        <v>3.75</v>
      </c>
      <c r="S90" s="42">
        <f>IF(Q90=1,(Assumptions!$B$12-N90)*(H90/Assumptions!$B$12),0)</f>
        <v>0</v>
      </c>
      <c r="T90" s="20">
        <f>S90*G90</f>
        <v>0</v>
      </c>
      <c r="U90" s="21">
        <f>IF(OR(K90&gt;=Assumptions!$B$5,Q90=1,AND(F90="Core",P90&lt;Assumptions!$B$7)),1,0)</f>
        <v>0</v>
      </c>
      <c r="V90" s="21">
        <f>IF(AND(F90="Seasonal",K90&lt;Assumptions!$B$6,P90&gt;Assumptions!$B$8),1,0)</f>
        <v>1</v>
      </c>
      <c r="W90" s="18">
        <f>IF(U90=1,ROUND(MAX(0,Assumptions!$B$9*R90-J90),0),0)</f>
        <v>0</v>
      </c>
      <c r="X90" s="44" t="str">
        <f t="shared" si="10"/>
        <v>Markdown / clear</v>
      </c>
    </row>
    <row r="91" spans="1:24" x14ac:dyDescent="0.35">
      <c r="A91" s="43" t="s">
        <v>158</v>
      </c>
      <c r="B91" s="22" t="s">
        <v>64</v>
      </c>
      <c r="C91" s="40" t="str">
        <f>INDEX(Dim_Product!$B:B, MATCH($A91,Dim_Product!$A:$A,0))</f>
        <v>Cropped Blazer</v>
      </c>
      <c r="D91" s="40" t="str">
        <f>INDEX(Dim_Product!$D:D, MATCH($A91,Dim_Product!$A:$A,0))</f>
        <v>Outerwear</v>
      </c>
      <c r="E91" s="40" t="str">
        <f>INDEX(Dim_Product!$E:E, MATCH($A91,Dim_Product!$A:$A,0))</f>
        <v>Black</v>
      </c>
      <c r="F91" s="40" t="str">
        <f>INDEX(Dim_Product!$F:F, MATCH($A91,Dim_Product!$A:$A,0))</f>
        <v>Seasonal</v>
      </c>
      <c r="G91" s="41">
        <f>INDEX(Dim_Product!$G:G, MATCH($A91,Dim_Product!$A:$A,0))</f>
        <v>59.99</v>
      </c>
      <c r="H91" s="18">
        <f>SUMIFS(Fact_Weekly!$D$2:$D$1500,Fact_Weekly!$B$2:$B$1500,$A91,Fact_Weekly!$C$2:$C$1500,$B91)</f>
        <v>211</v>
      </c>
      <c r="I91" s="18">
        <f>SUMIFS(Fact_Weekly!$E$2:$E$1500,Fact_Weekly!$B$2:$B$1500,$A91,Fact_Weekly!$C$2:$C$1500,$B91)</f>
        <v>95</v>
      </c>
      <c r="J91" s="18">
        <f t="shared" si="11"/>
        <v>116</v>
      </c>
      <c r="K91" s="19">
        <f t="shared" si="8"/>
        <v>0.45023696682464454</v>
      </c>
      <c r="L91" s="18">
        <f>SUMIFS(Fact_Weekly!$E$2:$E$1500,Fact_Weekly!$B$2:$B$1500,$A91,Fact_Weekly!$C$2:$C$1500,$B91,Fact_Weekly!$A$2:$A$1500,"&gt;="&amp;(Assumptions!$B$12-Assumptions!$B$11+1))</f>
        <v>20</v>
      </c>
      <c r="M91" s="42">
        <f>L91/Assumptions!$B$11</f>
        <v>5</v>
      </c>
      <c r="N91" s="18">
        <f>COUNTIFS(Fact_Weekly!$B$2:$B$1500,$A91,Fact_Weekly!$C$2:$C$1500,$B91,Fact_Weekly!$G$2:$G$1500,"&gt;0")</f>
        <v>12</v>
      </c>
      <c r="O91" s="42">
        <f t="shared" si="9"/>
        <v>7.916666666666667</v>
      </c>
      <c r="P91" s="42">
        <f>IF(M91&gt;0,J91/M91,IF(J91&gt;0,Assumptions!$B$12,0))</f>
        <v>23.2</v>
      </c>
      <c r="Q91" s="21">
        <f>IF(AND(N91&lt;Assumptions!$B$12,K91&gt;=0.99),1,0)</f>
        <v>0</v>
      </c>
      <c r="R91" s="42">
        <f t="shared" si="12"/>
        <v>5</v>
      </c>
      <c r="S91" s="42">
        <f>IF(Q91=1,(Assumptions!$B$12-N91)*(H91/Assumptions!$B$12),0)</f>
        <v>0</v>
      </c>
      <c r="T91" s="20">
        <f>S91*G91</f>
        <v>0</v>
      </c>
      <c r="U91" s="21">
        <f>IF(OR(K91&gt;=Assumptions!$B$5,Q91=1,AND(F91="Core",P91&lt;Assumptions!$B$7)),1,0)</f>
        <v>0</v>
      </c>
      <c r="V91" s="21">
        <f>IF(AND(F91="Seasonal",K91&lt;Assumptions!$B$6,P91&gt;Assumptions!$B$8),1,0)</f>
        <v>1</v>
      </c>
      <c r="W91" s="18">
        <f>IF(U91=1,ROUND(MAX(0,Assumptions!$B$9*R91-J91),0),0)</f>
        <v>0</v>
      </c>
      <c r="X91" s="44" t="str">
        <f t="shared" si="10"/>
        <v>Markdown / clear</v>
      </c>
    </row>
    <row r="92" spans="1:24" x14ac:dyDescent="0.35">
      <c r="A92" s="43" t="s">
        <v>158</v>
      </c>
      <c r="B92" s="22" t="s">
        <v>66</v>
      </c>
      <c r="C92" s="40" t="str">
        <f>INDEX(Dim_Product!$B:B, MATCH($A92,Dim_Product!$A:$A,0))</f>
        <v>Cropped Blazer</v>
      </c>
      <c r="D92" s="40" t="str">
        <f>INDEX(Dim_Product!$D:D, MATCH($A92,Dim_Product!$A:$A,0))</f>
        <v>Outerwear</v>
      </c>
      <c r="E92" s="40" t="str">
        <f>INDEX(Dim_Product!$E:E, MATCH($A92,Dim_Product!$A:$A,0))</f>
        <v>Black</v>
      </c>
      <c r="F92" s="40" t="str">
        <f>INDEX(Dim_Product!$F:F, MATCH($A92,Dim_Product!$A:$A,0))</f>
        <v>Seasonal</v>
      </c>
      <c r="G92" s="41">
        <f>INDEX(Dim_Product!$G:G, MATCH($A92,Dim_Product!$A:$A,0))</f>
        <v>59.99</v>
      </c>
      <c r="H92" s="18">
        <f>SUMIFS(Fact_Weekly!$D$2:$D$1500,Fact_Weekly!$B$2:$B$1500,$A92,Fact_Weekly!$C$2:$C$1500,$B92)</f>
        <v>135</v>
      </c>
      <c r="I92" s="18">
        <f>SUMIFS(Fact_Weekly!$E$2:$E$1500,Fact_Weekly!$B$2:$B$1500,$A92,Fact_Weekly!$C$2:$C$1500,$B92)</f>
        <v>57</v>
      </c>
      <c r="J92" s="18">
        <f t="shared" si="11"/>
        <v>78</v>
      </c>
      <c r="K92" s="19">
        <f t="shared" si="8"/>
        <v>0.42222222222222222</v>
      </c>
      <c r="L92" s="18">
        <f>SUMIFS(Fact_Weekly!$E$2:$E$1500,Fact_Weekly!$B$2:$B$1500,$A92,Fact_Weekly!$C$2:$C$1500,$B92,Fact_Weekly!$A$2:$A$1500,"&gt;="&amp;(Assumptions!$B$12-Assumptions!$B$11+1))</f>
        <v>12</v>
      </c>
      <c r="M92" s="42">
        <f>L92/Assumptions!$B$11</f>
        <v>3</v>
      </c>
      <c r="N92" s="18">
        <f>COUNTIFS(Fact_Weekly!$B$2:$B$1500,$A92,Fact_Weekly!$C$2:$C$1500,$B92,Fact_Weekly!$G$2:$G$1500,"&gt;0")</f>
        <v>12</v>
      </c>
      <c r="O92" s="42">
        <f t="shared" si="9"/>
        <v>4.75</v>
      </c>
      <c r="P92" s="42">
        <f>IF(M92&gt;0,J92/M92,IF(J92&gt;0,Assumptions!$B$12,0))</f>
        <v>26</v>
      </c>
      <c r="Q92" s="21">
        <f>IF(AND(N92&lt;Assumptions!$B$12,K92&gt;=0.99),1,0)</f>
        <v>0</v>
      </c>
      <c r="R92" s="42">
        <f t="shared" si="12"/>
        <v>3</v>
      </c>
      <c r="S92" s="42">
        <f>IF(Q92=1,(Assumptions!$B$12-N92)*(H92/Assumptions!$B$12),0)</f>
        <v>0</v>
      </c>
      <c r="T92" s="20">
        <f>S92*G92</f>
        <v>0</v>
      </c>
      <c r="U92" s="21">
        <f>IF(OR(K92&gt;=Assumptions!$B$5,Q92=1,AND(F92="Core",P92&lt;Assumptions!$B$7)),1,0)</f>
        <v>0</v>
      </c>
      <c r="V92" s="21">
        <f>IF(AND(F92="Seasonal",K92&lt;Assumptions!$B$6,P92&gt;Assumptions!$B$8),1,0)</f>
        <v>1</v>
      </c>
      <c r="W92" s="18">
        <f>IF(U92=1,ROUND(MAX(0,Assumptions!$B$9*R92-J92),0),0)</f>
        <v>0</v>
      </c>
      <c r="X92" s="44" t="str">
        <f t="shared" si="10"/>
        <v>Markdown / clear</v>
      </c>
    </row>
    <row r="93" spans="1:24" x14ac:dyDescent="0.35">
      <c r="A93" s="43" t="s">
        <v>158</v>
      </c>
      <c r="B93" s="22" t="s">
        <v>68</v>
      </c>
      <c r="C93" s="40" t="str">
        <f>INDEX(Dim_Product!$B:B, MATCH($A93,Dim_Product!$A:$A,0))</f>
        <v>Cropped Blazer</v>
      </c>
      <c r="D93" s="40" t="str">
        <f>INDEX(Dim_Product!$D:D, MATCH($A93,Dim_Product!$A:$A,0))</f>
        <v>Outerwear</v>
      </c>
      <c r="E93" s="40" t="str">
        <f>INDEX(Dim_Product!$E:E, MATCH($A93,Dim_Product!$A:$A,0))</f>
        <v>Black</v>
      </c>
      <c r="F93" s="40" t="str">
        <f>INDEX(Dim_Product!$F:F, MATCH($A93,Dim_Product!$A:$A,0))</f>
        <v>Seasonal</v>
      </c>
      <c r="G93" s="41">
        <f>INDEX(Dim_Product!$G:G, MATCH($A93,Dim_Product!$A:$A,0))</f>
        <v>59.99</v>
      </c>
      <c r="H93" s="18">
        <f>SUMIFS(Fact_Weekly!$D$2:$D$1500,Fact_Weekly!$B$2:$B$1500,$A93,Fact_Weekly!$C$2:$C$1500,$B93)</f>
        <v>163</v>
      </c>
      <c r="I93" s="18">
        <f>SUMIFS(Fact_Weekly!$E$2:$E$1500,Fact_Weekly!$B$2:$B$1500,$A93,Fact_Weekly!$C$2:$C$1500,$B93)</f>
        <v>82</v>
      </c>
      <c r="J93" s="18">
        <f t="shared" si="11"/>
        <v>81</v>
      </c>
      <c r="K93" s="19">
        <f t="shared" si="8"/>
        <v>0.50306748466257667</v>
      </c>
      <c r="L93" s="18">
        <f>SUMIFS(Fact_Weekly!$E$2:$E$1500,Fact_Weekly!$B$2:$B$1500,$A93,Fact_Weekly!$C$2:$C$1500,$B93,Fact_Weekly!$A$2:$A$1500,"&gt;="&amp;(Assumptions!$B$12-Assumptions!$B$11+1))</f>
        <v>16</v>
      </c>
      <c r="M93" s="42">
        <f>L93/Assumptions!$B$11</f>
        <v>4</v>
      </c>
      <c r="N93" s="18">
        <f>COUNTIFS(Fact_Weekly!$B$2:$B$1500,$A93,Fact_Weekly!$C$2:$C$1500,$B93,Fact_Weekly!$G$2:$G$1500,"&gt;0")</f>
        <v>12</v>
      </c>
      <c r="O93" s="42">
        <f t="shared" si="9"/>
        <v>6.833333333333333</v>
      </c>
      <c r="P93" s="42">
        <f>IF(M93&gt;0,J93/M93,IF(J93&gt;0,Assumptions!$B$12,0))</f>
        <v>20.25</v>
      </c>
      <c r="Q93" s="21">
        <f>IF(AND(N93&lt;Assumptions!$B$12,K93&gt;=0.99),1,0)</f>
        <v>0</v>
      </c>
      <c r="R93" s="42">
        <f t="shared" si="12"/>
        <v>4</v>
      </c>
      <c r="S93" s="42">
        <f>IF(Q93=1,(Assumptions!$B$12-N93)*(H93/Assumptions!$B$12),0)</f>
        <v>0</v>
      </c>
      <c r="T93" s="20">
        <f>S93*G93</f>
        <v>0</v>
      </c>
      <c r="U93" s="21">
        <f>IF(OR(K93&gt;=Assumptions!$B$5,Q93=1,AND(F93="Core",P93&lt;Assumptions!$B$7)),1,0)</f>
        <v>0</v>
      </c>
      <c r="V93" s="21">
        <f>IF(AND(F93="Seasonal",K93&lt;Assumptions!$B$6,P93&gt;Assumptions!$B$8),1,0)</f>
        <v>1</v>
      </c>
      <c r="W93" s="18">
        <f>IF(U93=1,ROUND(MAX(0,Assumptions!$B$9*R93-J93),0),0)</f>
        <v>0</v>
      </c>
      <c r="X93" s="44" t="str">
        <f t="shared" si="10"/>
        <v>Markdown / clear</v>
      </c>
    </row>
    <row r="94" spans="1:24" x14ac:dyDescent="0.35">
      <c r="A94" s="43" t="s">
        <v>161</v>
      </c>
      <c r="B94" s="22" t="s">
        <v>62</v>
      </c>
      <c r="C94" s="40" t="str">
        <f>INDEX(Dim_Product!$B:B, MATCH($A94,Dim_Product!$A:$A,0))</f>
        <v>Cropped Blazer</v>
      </c>
      <c r="D94" s="40" t="str">
        <f>INDEX(Dim_Product!$D:D, MATCH($A94,Dim_Product!$A:$A,0))</f>
        <v>Outerwear</v>
      </c>
      <c r="E94" s="40" t="str">
        <f>INDEX(Dim_Product!$E:E, MATCH($A94,Dim_Product!$A:$A,0))</f>
        <v>Ivory</v>
      </c>
      <c r="F94" s="40" t="str">
        <f>INDEX(Dim_Product!$F:F, MATCH($A94,Dim_Product!$A:$A,0))</f>
        <v>Seasonal</v>
      </c>
      <c r="G94" s="41">
        <f>INDEX(Dim_Product!$G:G, MATCH($A94,Dim_Product!$A:$A,0))</f>
        <v>59.99</v>
      </c>
      <c r="H94" s="18">
        <f>SUMIFS(Fact_Weekly!$D$2:$D$1500,Fact_Weekly!$B$2:$B$1500,$A94,Fact_Weekly!$C$2:$C$1500,$B94)</f>
        <v>222</v>
      </c>
      <c r="I94" s="18">
        <f>SUMIFS(Fact_Weekly!$E$2:$E$1500,Fact_Weekly!$B$2:$B$1500,$A94,Fact_Weekly!$C$2:$C$1500,$B94)</f>
        <v>110</v>
      </c>
      <c r="J94" s="18">
        <f t="shared" si="11"/>
        <v>112</v>
      </c>
      <c r="K94" s="19">
        <f t="shared" si="8"/>
        <v>0.49549549549549549</v>
      </c>
      <c r="L94" s="18">
        <f>SUMIFS(Fact_Weekly!$E$2:$E$1500,Fact_Weekly!$B$2:$B$1500,$A94,Fact_Weekly!$C$2:$C$1500,$B94,Fact_Weekly!$A$2:$A$1500,"&gt;="&amp;(Assumptions!$B$12-Assumptions!$B$11+1))</f>
        <v>22</v>
      </c>
      <c r="M94" s="42">
        <f>L94/Assumptions!$B$11</f>
        <v>5.5</v>
      </c>
      <c r="N94" s="18">
        <f>COUNTIFS(Fact_Weekly!$B$2:$B$1500,$A94,Fact_Weekly!$C$2:$C$1500,$B94,Fact_Weekly!$G$2:$G$1500,"&gt;0")</f>
        <v>12</v>
      </c>
      <c r="O94" s="42">
        <f t="shared" si="9"/>
        <v>9.1666666666666661</v>
      </c>
      <c r="P94" s="42">
        <f>IF(M94&gt;0,J94/M94,IF(J94&gt;0,Assumptions!$B$12,0))</f>
        <v>20.363636363636363</v>
      </c>
      <c r="Q94" s="21">
        <f>IF(AND(N94&lt;Assumptions!$B$12,K94&gt;=0.99),1,0)</f>
        <v>0</v>
      </c>
      <c r="R94" s="42">
        <f t="shared" si="12"/>
        <v>5.5</v>
      </c>
      <c r="S94" s="42">
        <f>IF(Q94=1,(Assumptions!$B$12-N94)*(H94/Assumptions!$B$12),0)</f>
        <v>0</v>
      </c>
      <c r="T94" s="20">
        <f>S94*G94</f>
        <v>0</v>
      </c>
      <c r="U94" s="21">
        <f>IF(OR(K94&gt;=Assumptions!$B$5,Q94=1,AND(F94="Core",P94&lt;Assumptions!$B$7)),1,0)</f>
        <v>0</v>
      </c>
      <c r="V94" s="21">
        <f>IF(AND(F94="Seasonal",K94&lt;Assumptions!$B$6,P94&gt;Assumptions!$B$8),1,0)</f>
        <v>1</v>
      </c>
      <c r="W94" s="18">
        <f>IF(U94=1,ROUND(MAX(0,Assumptions!$B$9*R94-J94),0),0)</f>
        <v>0</v>
      </c>
      <c r="X94" s="44" t="str">
        <f t="shared" si="10"/>
        <v>Markdown / clear</v>
      </c>
    </row>
    <row r="95" spans="1:24" x14ac:dyDescent="0.35">
      <c r="A95" s="43" t="s">
        <v>161</v>
      </c>
      <c r="B95" s="22" t="s">
        <v>64</v>
      </c>
      <c r="C95" s="40" t="str">
        <f>INDEX(Dim_Product!$B:B, MATCH($A95,Dim_Product!$A:$A,0))</f>
        <v>Cropped Blazer</v>
      </c>
      <c r="D95" s="40" t="str">
        <f>INDEX(Dim_Product!$D:D, MATCH($A95,Dim_Product!$A:$A,0))</f>
        <v>Outerwear</v>
      </c>
      <c r="E95" s="40" t="str">
        <f>INDEX(Dim_Product!$E:E, MATCH($A95,Dim_Product!$A:$A,0))</f>
        <v>Ivory</v>
      </c>
      <c r="F95" s="40" t="str">
        <f>INDEX(Dim_Product!$F:F, MATCH($A95,Dim_Product!$A:$A,0))</f>
        <v>Seasonal</v>
      </c>
      <c r="G95" s="41">
        <f>INDEX(Dim_Product!$G:G, MATCH($A95,Dim_Product!$A:$A,0))</f>
        <v>59.99</v>
      </c>
      <c r="H95" s="18">
        <f>SUMIFS(Fact_Weekly!$D$2:$D$1500,Fact_Weekly!$B$2:$B$1500,$A95,Fact_Weekly!$C$2:$C$1500,$B95)</f>
        <v>280</v>
      </c>
      <c r="I95" s="18">
        <f>SUMIFS(Fact_Weekly!$E$2:$E$1500,Fact_Weekly!$B$2:$B$1500,$A95,Fact_Weekly!$C$2:$C$1500,$B95)</f>
        <v>129</v>
      </c>
      <c r="J95" s="18">
        <f t="shared" si="11"/>
        <v>151</v>
      </c>
      <c r="K95" s="19">
        <f t="shared" si="8"/>
        <v>0.46071428571428569</v>
      </c>
      <c r="L95" s="18">
        <f>SUMIFS(Fact_Weekly!$E$2:$E$1500,Fact_Weekly!$B$2:$B$1500,$A95,Fact_Weekly!$C$2:$C$1500,$B95,Fact_Weekly!$A$2:$A$1500,"&gt;="&amp;(Assumptions!$B$12-Assumptions!$B$11+1))</f>
        <v>25</v>
      </c>
      <c r="M95" s="42">
        <f>L95/Assumptions!$B$11</f>
        <v>6.25</v>
      </c>
      <c r="N95" s="18">
        <f>COUNTIFS(Fact_Weekly!$B$2:$B$1500,$A95,Fact_Weekly!$C$2:$C$1500,$B95,Fact_Weekly!$G$2:$G$1500,"&gt;0")</f>
        <v>12</v>
      </c>
      <c r="O95" s="42">
        <f t="shared" si="9"/>
        <v>10.75</v>
      </c>
      <c r="P95" s="42">
        <f>IF(M95&gt;0,J95/M95,IF(J95&gt;0,Assumptions!$B$12,0))</f>
        <v>24.16</v>
      </c>
      <c r="Q95" s="21">
        <f>IF(AND(N95&lt;Assumptions!$B$12,K95&gt;=0.99),1,0)</f>
        <v>0</v>
      </c>
      <c r="R95" s="42">
        <f t="shared" si="12"/>
        <v>6.25</v>
      </c>
      <c r="S95" s="42">
        <f>IF(Q95=1,(Assumptions!$B$12-N95)*(H95/Assumptions!$B$12),0)</f>
        <v>0</v>
      </c>
      <c r="T95" s="20">
        <f>S95*G95</f>
        <v>0</v>
      </c>
      <c r="U95" s="21">
        <f>IF(OR(K95&gt;=Assumptions!$B$5,Q95=1,AND(F95="Core",P95&lt;Assumptions!$B$7)),1,0)</f>
        <v>0</v>
      </c>
      <c r="V95" s="21">
        <f>IF(AND(F95="Seasonal",K95&lt;Assumptions!$B$6,P95&gt;Assumptions!$B$8),1,0)</f>
        <v>1</v>
      </c>
      <c r="W95" s="18">
        <f>IF(U95=1,ROUND(MAX(0,Assumptions!$B$9*R95-J95),0),0)</f>
        <v>0</v>
      </c>
      <c r="X95" s="44" t="str">
        <f t="shared" si="10"/>
        <v>Markdown / clear</v>
      </c>
    </row>
    <row r="96" spans="1:24" x14ac:dyDescent="0.35">
      <c r="A96" s="43" t="s">
        <v>161</v>
      </c>
      <c r="B96" s="22" t="s">
        <v>66</v>
      </c>
      <c r="C96" s="40" t="str">
        <f>INDEX(Dim_Product!$B:B, MATCH($A96,Dim_Product!$A:$A,0))</f>
        <v>Cropped Blazer</v>
      </c>
      <c r="D96" s="40" t="str">
        <f>INDEX(Dim_Product!$D:D, MATCH($A96,Dim_Product!$A:$A,0))</f>
        <v>Outerwear</v>
      </c>
      <c r="E96" s="40" t="str">
        <f>INDEX(Dim_Product!$E:E, MATCH($A96,Dim_Product!$A:$A,0))</f>
        <v>Ivory</v>
      </c>
      <c r="F96" s="40" t="str">
        <f>INDEX(Dim_Product!$F:F, MATCH($A96,Dim_Product!$A:$A,0))</f>
        <v>Seasonal</v>
      </c>
      <c r="G96" s="41">
        <f>INDEX(Dim_Product!$G:G, MATCH($A96,Dim_Product!$A:$A,0))</f>
        <v>59.99</v>
      </c>
      <c r="H96" s="18">
        <f>SUMIFS(Fact_Weekly!$D$2:$D$1500,Fact_Weekly!$B$2:$B$1500,$A96,Fact_Weekly!$C$2:$C$1500,$B96)</f>
        <v>189</v>
      </c>
      <c r="I96" s="18">
        <f>SUMIFS(Fact_Weekly!$E$2:$E$1500,Fact_Weekly!$B$2:$B$1500,$A96,Fact_Weekly!$C$2:$C$1500,$B96)</f>
        <v>83</v>
      </c>
      <c r="J96" s="18">
        <f t="shared" si="11"/>
        <v>106</v>
      </c>
      <c r="K96" s="19">
        <f t="shared" si="8"/>
        <v>0.43915343915343913</v>
      </c>
      <c r="L96" s="18">
        <f>SUMIFS(Fact_Weekly!$E$2:$E$1500,Fact_Weekly!$B$2:$B$1500,$A96,Fact_Weekly!$C$2:$C$1500,$B96,Fact_Weekly!$A$2:$A$1500,"&gt;="&amp;(Assumptions!$B$12-Assumptions!$B$11+1))</f>
        <v>18</v>
      </c>
      <c r="M96" s="42">
        <f>L96/Assumptions!$B$11</f>
        <v>4.5</v>
      </c>
      <c r="N96" s="18">
        <f>COUNTIFS(Fact_Weekly!$B$2:$B$1500,$A96,Fact_Weekly!$C$2:$C$1500,$B96,Fact_Weekly!$G$2:$G$1500,"&gt;0")</f>
        <v>12</v>
      </c>
      <c r="O96" s="42">
        <f t="shared" si="9"/>
        <v>6.916666666666667</v>
      </c>
      <c r="P96" s="42">
        <f>IF(M96&gt;0,J96/M96,IF(J96&gt;0,Assumptions!$B$12,0))</f>
        <v>23.555555555555557</v>
      </c>
      <c r="Q96" s="21">
        <f>IF(AND(N96&lt;Assumptions!$B$12,K96&gt;=0.99),1,0)</f>
        <v>0</v>
      </c>
      <c r="R96" s="42">
        <f t="shared" si="12"/>
        <v>4.5</v>
      </c>
      <c r="S96" s="42">
        <f>IF(Q96=1,(Assumptions!$B$12-N96)*(H96/Assumptions!$B$12),0)</f>
        <v>0</v>
      </c>
      <c r="T96" s="20">
        <f>S96*G96</f>
        <v>0</v>
      </c>
      <c r="U96" s="21">
        <f>IF(OR(K96&gt;=Assumptions!$B$5,Q96=1,AND(F96="Core",P96&lt;Assumptions!$B$7)),1,0)</f>
        <v>0</v>
      </c>
      <c r="V96" s="21">
        <f>IF(AND(F96="Seasonal",K96&lt;Assumptions!$B$6,P96&gt;Assumptions!$B$8),1,0)</f>
        <v>1</v>
      </c>
      <c r="W96" s="18">
        <f>IF(U96=1,ROUND(MAX(0,Assumptions!$B$9*R96-J96),0),0)</f>
        <v>0</v>
      </c>
      <c r="X96" s="44" t="str">
        <f t="shared" si="10"/>
        <v>Markdown / clear</v>
      </c>
    </row>
    <row r="97" spans="1:24" x14ac:dyDescent="0.35">
      <c r="A97" s="43" t="s">
        <v>161</v>
      </c>
      <c r="B97" s="22" t="s">
        <v>68</v>
      </c>
      <c r="C97" s="40" t="str">
        <f>INDEX(Dim_Product!$B:B, MATCH($A97,Dim_Product!$A:$A,0))</f>
        <v>Cropped Blazer</v>
      </c>
      <c r="D97" s="40" t="str">
        <f>INDEX(Dim_Product!$D:D, MATCH($A97,Dim_Product!$A:$A,0))</f>
        <v>Outerwear</v>
      </c>
      <c r="E97" s="40" t="str">
        <f>INDEX(Dim_Product!$E:E, MATCH($A97,Dim_Product!$A:$A,0))</f>
        <v>Ivory</v>
      </c>
      <c r="F97" s="40" t="str">
        <f>INDEX(Dim_Product!$F:F, MATCH($A97,Dim_Product!$A:$A,0))</f>
        <v>Seasonal</v>
      </c>
      <c r="G97" s="41">
        <f>INDEX(Dim_Product!$G:G, MATCH($A97,Dim_Product!$A:$A,0))</f>
        <v>59.99</v>
      </c>
      <c r="H97" s="18">
        <f>SUMIFS(Fact_Weekly!$D$2:$D$1500,Fact_Weekly!$B$2:$B$1500,$A97,Fact_Weekly!$C$2:$C$1500,$B97)</f>
        <v>265</v>
      </c>
      <c r="I97" s="18">
        <f>SUMIFS(Fact_Weekly!$E$2:$E$1500,Fact_Weekly!$B$2:$B$1500,$A97,Fact_Weekly!$C$2:$C$1500,$B97)</f>
        <v>117</v>
      </c>
      <c r="J97" s="18">
        <f t="shared" si="11"/>
        <v>148</v>
      </c>
      <c r="K97" s="19">
        <f t="shared" si="8"/>
        <v>0.44150943396226416</v>
      </c>
      <c r="L97" s="18">
        <f>SUMIFS(Fact_Weekly!$E$2:$E$1500,Fact_Weekly!$B$2:$B$1500,$A97,Fact_Weekly!$C$2:$C$1500,$B97,Fact_Weekly!$A$2:$A$1500,"&gt;="&amp;(Assumptions!$B$12-Assumptions!$B$11+1))</f>
        <v>24</v>
      </c>
      <c r="M97" s="42">
        <f>L97/Assumptions!$B$11</f>
        <v>6</v>
      </c>
      <c r="N97" s="18">
        <f>COUNTIFS(Fact_Weekly!$B$2:$B$1500,$A97,Fact_Weekly!$C$2:$C$1500,$B97,Fact_Weekly!$G$2:$G$1500,"&gt;0")</f>
        <v>12</v>
      </c>
      <c r="O97" s="42">
        <f t="shared" si="9"/>
        <v>9.75</v>
      </c>
      <c r="P97" s="42">
        <f>IF(M97&gt;0,J97/M97,IF(J97&gt;0,Assumptions!$B$12,0))</f>
        <v>24.666666666666668</v>
      </c>
      <c r="Q97" s="21">
        <f>IF(AND(N97&lt;Assumptions!$B$12,K97&gt;=0.99),1,0)</f>
        <v>0</v>
      </c>
      <c r="R97" s="42">
        <f t="shared" si="12"/>
        <v>6</v>
      </c>
      <c r="S97" s="42">
        <f>IF(Q97=1,(Assumptions!$B$12-N97)*(H97/Assumptions!$B$12),0)</f>
        <v>0</v>
      </c>
      <c r="T97" s="20">
        <f>S97*G97</f>
        <v>0</v>
      </c>
      <c r="U97" s="21">
        <f>IF(OR(K97&gt;=Assumptions!$B$5,Q97=1,AND(F97="Core",P97&lt;Assumptions!$B$7)),1,0)</f>
        <v>0</v>
      </c>
      <c r="V97" s="21">
        <f>IF(AND(F97="Seasonal",K97&lt;Assumptions!$B$6,P97&gt;Assumptions!$B$8),1,0)</f>
        <v>1</v>
      </c>
      <c r="W97" s="18">
        <f>IF(U97=1,ROUND(MAX(0,Assumptions!$B$9*R97-J97),0),0)</f>
        <v>0</v>
      </c>
      <c r="X97" s="44" t="str">
        <f t="shared" si="10"/>
        <v>Markdown / clear</v>
      </c>
    </row>
    <row r="98" spans="1:24" x14ac:dyDescent="0.35">
      <c r="A98" s="43" t="s">
        <v>163</v>
      </c>
      <c r="B98" s="22" t="s">
        <v>62</v>
      </c>
      <c r="C98" s="40" t="str">
        <f>INDEX(Dim_Product!$B:B, MATCH($A98,Dim_Product!$A:$A,0))</f>
        <v>Cropped Blazer</v>
      </c>
      <c r="D98" s="40" t="str">
        <f>INDEX(Dim_Product!$D:D, MATCH($A98,Dim_Product!$A:$A,0))</f>
        <v>Outerwear</v>
      </c>
      <c r="E98" s="40" t="str">
        <f>INDEX(Dim_Product!$E:E, MATCH($A98,Dim_Product!$A:$A,0))</f>
        <v>Check</v>
      </c>
      <c r="F98" s="40" t="str">
        <f>INDEX(Dim_Product!$F:F, MATCH($A98,Dim_Product!$A:$A,0))</f>
        <v>Seasonal</v>
      </c>
      <c r="G98" s="41">
        <f>INDEX(Dim_Product!$G:G, MATCH($A98,Dim_Product!$A:$A,0))</f>
        <v>59.99</v>
      </c>
      <c r="H98" s="18">
        <f>SUMIFS(Fact_Weekly!$D$2:$D$1500,Fact_Weekly!$B$2:$B$1500,$A98,Fact_Weekly!$C$2:$C$1500,$B98)</f>
        <v>230</v>
      </c>
      <c r="I98" s="18">
        <f>SUMIFS(Fact_Weekly!$E$2:$E$1500,Fact_Weekly!$B$2:$B$1500,$A98,Fact_Weekly!$C$2:$C$1500,$B98)</f>
        <v>106</v>
      </c>
      <c r="J98" s="18">
        <f t="shared" si="11"/>
        <v>124</v>
      </c>
      <c r="K98" s="19">
        <f t="shared" ref="K98:K121" si="13">IF(H98&gt;0,I98/H98,0)</f>
        <v>0.46086956521739131</v>
      </c>
      <c r="L98" s="18">
        <f>SUMIFS(Fact_Weekly!$E$2:$E$1500,Fact_Weekly!$B$2:$B$1500,$A98,Fact_Weekly!$C$2:$C$1500,$B98,Fact_Weekly!$A$2:$A$1500,"&gt;="&amp;(Assumptions!$B$12-Assumptions!$B$11+1))</f>
        <v>25</v>
      </c>
      <c r="M98" s="42">
        <f>L98/Assumptions!$B$11</f>
        <v>6.25</v>
      </c>
      <c r="N98" s="18">
        <f>COUNTIFS(Fact_Weekly!$B$2:$B$1500,$A98,Fact_Weekly!$C$2:$C$1500,$B98,Fact_Weekly!$G$2:$G$1500,"&gt;0")</f>
        <v>12</v>
      </c>
      <c r="O98" s="42">
        <f t="shared" ref="O98:O121" si="14">IF(N98&gt;0,I98/N98,0)</f>
        <v>8.8333333333333339</v>
      </c>
      <c r="P98" s="42">
        <f>IF(M98&gt;0,J98/M98,IF(J98&gt;0,Assumptions!$B$12,0))</f>
        <v>19.84</v>
      </c>
      <c r="Q98" s="21">
        <f>IF(AND(N98&lt;Assumptions!$B$12,K98&gt;=0.99),1,0)</f>
        <v>0</v>
      </c>
      <c r="R98" s="42">
        <f t="shared" si="12"/>
        <v>6.25</v>
      </c>
      <c r="S98" s="42">
        <f>IF(Q98=1,(Assumptions!$B$12-N98)*(H98/Assumptions!$B$12),0)</f>
        <v>0</v>
      </c>
      <c r="T98" s="20">
        <f>S98*G98</f>
        <v>0</v>
      </c>
      <c r="U98" s="21">
        <f>IF(OR(K98&gt;=Assumptions!$B$5,Q98=1,AND(F98="Core",P98&lt;Assumptions!$B$7)),1,0)</f>
        <v>0</v>
      </c>
      <c r="V98" s="21">
        <f>IF(AND(F98="Seasonal",K98&lt;Assumptions!$B$6,P98&gt;Assumptions!$B$8),1,0)</f>
        <v>1</v>
      </c>
      <c r="W98" s="18">
        <f>IF(U98=1,ROUND(MAX(0,Assumptions!$B$9*R98-J98),0),0)</f>
        <v>0</v>
      </c>
      <c r="X98" s="44" t="str">
        <f t="shared" ref="X98:X121" si="15">IF(V98=1,"Markdown / clear",IF(AND(U98=1,Q98=1),"Reorder - recover lost sales",IF(U98=1,"Reorder / replenish","Maintain / monitor")))</f>
        <v>Markdown / clear</v>
      </c>
    </row>
    <row r="99" spans="1:24" x14ac:dyDescent="0.35">
      <c r="A99" s="43" t="s">
        <v>163</v>
      </c>
      <c r="B99" s="22" t="s">
        <v>64</v>
      </c>
      <c r="C99" s="40" t="str">
        <f>INDEX(Dim_Product!$B:B, MATCH($A99,Dim_Product!$A:$A,0))</f>
        <v>Cropped Blazer</v>
      </c>
      <c r="D99" s="40" t="str">
        <f>INDEX(Dim_Product!$D:D, MATCH($A99,Dim_Product!$A:$A,0))</f>
        <v>Outerwear</v>
      </c>
      <c r="E99" s="40" t="str">
        <f>INDEX(Dim_Product!$E:E, MATCH($A99,Dim_Product!$A:$A,0))</f>
        <v>Check</v>
      </c>
      <c r="F99" s="40" t="str">
        <f>INDEX(Dim_Product!$F:F, MATCH($A99,Dim_Product!$A:$A,0))</f>
        <v>Seasonal</v>
      </c>
      <c r="G99" s="41">
        <f>INDEX(Dim_Product!$G:G, MATCH($A99,Dim_Product!$A:$A,0))</f>
        <v>59.99</v>
      </c>
      <c r="H99" s="18">
        <f>SUMIFS(Fact_Weekly!$D$2:$D$1500,Fact_Weekly!$B$2:$B$1500,$A99,Fact_Weekly!$C$2:$C$1500,$B99)</f>
        <v>305</v>
      </c>
      <c r="I99" s="18">
        <f>SUMIFS(Fact_Weekly!$E$2:$E$1500,Fact_Weekly!$B$2:$B$1500,$A99,Fact_Weekly!$C$2:$C$1500,$B99)</f>
        <v>134</v>
      </c>
      <c r="J99" s="18">
        <f t="shared" si="11"/>
        <v>171</v>
      </c>
      <c r="K99" s="19">
        <f t="shared" si="13"/>
        <v>0.43934426229508194</v>
      </c>
      <c r="L99" s="18">
        <f>SUMIFS(Fact_Weekly!$E$2:$E$1500,Fact_Weekly!$B$2:$B$1500,$A99,Fact_Weekly!$C$2:$C$1500,$B99,Fact_Weekly!$A$2:$A$1500,"&gt;="&amp;(Assumptions!$B$12-Assumptions!$B$11+1))</f>
        <v>29</v>
      </c>
      <c r="M99" s="42">
        <f>L99/Assumptions!$B$11</f>
        <v>7.25</v>
      </c>
      <c r="N99" s="18">
        <f>COUNTIFS(Fact_Weekly!$B$2:$B$1500,$A99,Fact_Weekly!$C$2:$C$1500,$B99,Fact_Weekly!$G$2:$G$1500,"&gt;0")</f>
        <v>12</v>
      </c>
      <c r="O99" s="42">
        <f t="shared" si="14"/>
        <v>11.166666666666666</v>
      </c>
      <c r="P99" s="42">
        <f>IF(M99&gt;0,J99/M99,IF(J99&gt;0,Assumptions!$B$12,0))</f>
        <v>23.586206896551722</v>
      </c>
      <c r="Q99" s="21">
        <f>IF(AND(N99&lt;Assumptions!$B$12,K99&gt;=0.99),1,0)</f>
        <v>0</v>
      </c>
      <c r="R99" s="42">
        <f t="shared" si="12"/>
        <v>7.25</v>
      </c>
      <c r="S99" s="42">
        <f>IF(Q99=1,(Assumptions!$B$12-N99)*(H99/Assumptions!$B$12),0)</f>
        <v>0</v>
      </c>
      <c r="T99" s="20">
        <f>S99*G99</f>
        <v>0</v>
      </c>
      <c r="U99" s="21">
        <f>IF(OR(K99&gt;=Assumptions!$B$5,Q99=1,AND(F99="Core",P99&lt;Assumptions!$B$7)),1,0)</f>
        <v>0</v>
      </c>
      <c r="V99" s="21">
        <f>IF(AND(F99="Seasonal",K99&lt;Assumptions!$B$6,P99&gt;Assumptions!$B$8),1,0)</f>
        <v>1</v>
      </c>
      <c r="W99" s="18">
        <f>IF(U99=1,ROUND(MAX(0,Assumptions!$B$9*R99-J99),0),0)</f>
        <v>0</v>
      </c>
      <c r="X99" s="44" t="str">
        <f t="shared" si="15"/>
        <v>Markdown / clear</v>
      </c>
    </row>
    <row r="100" spans="1:24" x14ac:dyDescent="0.35">
      <c r="A100" s="43" t="s">
        <v>163</v>
      </c>
      <c r="B100" s="22" t="s">
        <v>66</v>
      </c>
      <c r="C100" s="40" t="str">
        <f>INDEX(Dim_Product!$B:B, MATCH($A100,Dim_Product!$A:$A,0))</f>
        <v>Cropped Blazer</v>
      </c>
      <c r="D100" s="40" t="str">
        <f>INDEX(Dim_Product!$D:D, MATCH($A100,Dim_Product!$A:$A,0))</f>
        <v>Outerwear</v>
      </c>
      <c r="E100" s="40" t="str">
        <f>INDEX(Dim_Product!$E:E, MATCH($A100,Dim_Product!$A:$A,0))</f>
        <v>Check</v>
      </c>
      <c r="F100" s="40" t="str">
        <f>INDEX(Dim_Product!$F:F, MATCH($A100,Dim_Product!$A:$A,0))</f>
        <v>Seasonal</v>
      </c>
      <c r="G100" s="41">
        <f>INDEX(Dim_Product!$G:G, MATCH($A100,Dim_Product!$A:$A,0))</f>
        <v>59.99</v>
      </c>
      <c r="H100" s="18">
        <f>SUMIFS(Fact_Weekly!$D$2:$D$1500,Fact_Weekly!$B$2:$B$1500,$A100,Fact_Weekly!$C$2:$C$1500,$B100)</f>
        <v>165</v>
      </c>
      <c r="I100" s="18">
        <f>SUMIFS(Fact_Weekly!$E$2:$E$1500,Fact_Weekly!$B$2:$B$1500,$A100,Fact_Weekly!$C$2:$C$1500,$B100)</f>
        <v>86</v>
      </c>
      <c r="J100" s="18">
        <f t="shared" si="11"/>
        <v>79</v>
      </c>
      <c r="K100" s="19">
        <f t="shared" si="13"/>
        <v>0.52121212121212124</v>
      </c>
      <c r="L100" s="18">
        <f>SUMIFS(Fact_Weekly!$E$2:$E$1500,Fact_Weekly!$B$2:$B$1500,$A100,Fact_Weekly!$C$2:$C$1500,$B100,Fact_Weekly!$A$2:$A$1500,"&gt;="&amp;(Assumptions!$B$12-Assumptions!$B$11+1))</f>
        <v>16</v>
      </c>
      <c r="M100" s="42">
        <f>L100/Assumptions!$B$11</f>
        <v>4</v>
      </c>
      <c r="N100" s="18">
        <f>COUNTIFS(Fact_Weekly!$B$2:$B$1500,$A100,Fact_Weekly!$C$2:$C$1500,$B100,Fact_Weekly!$G$2:$G$1500,"&gt;0")</f>
        <v>12</v>
      </c>
      <c r="O100" s="42">
        <f t="shared" si="14"/>
        <v>7.166666666666667</v>
      </c>
      <c r="P100" s="42">
        <f>IF(M100&gt;0,J100/M100,IF(J100&gt;0,Assumptions!$B$12,0))</f>
        <v>19.75</v>
      </c>
      <c r="Q100" s="21">
        <f>IF(AND(N100&lt;Assumptions!$B$12,K100&gt;=0.99),1,0)</f>
        <v>0</v>
      </c>
      <c r="R100" s="42">
        <f t="shared" si="12"/>
        <v>4</v>
      </c>
      <c r="S100" s="42">
        <f>IF(Q100=1,(Assumptions!$B$12-N100)*(H100/Assumptions!$B$12),0)</f>
        <v>0</v>
      </c>
      <c r="T100" s="20">
        <f>S100*G100</f>
        <v>0</v>
      </c>
      <c r="U100" s="21">
        <f>IF(OR(K100&gt;=Assumptions!$B$5,Q100=1,AND(F100="Core",P100&lt;Assumptions!$B$7)),1,0)</f>
        <v>0</v>
      </c>
      <c r="V100" s="21">
        <f>IF(AND(F100="Seasonal",K100&lt;Assumptions!$B$6,P100&gt;Assumptions!$B$8),1,0)</f>
        <v>1</v>
      </c>
      <c r="W100" s="18">
        <f>IF(U100=1,ROUND(MAX(0,Assumptions!$B$9*R100-J100),0),0)</f>
        <v>0</v>
      </c>
      <c r="X100" s="44" t="str">
        <f t="shared" si="15"/>
        <v>Markdown / clear</v>
      </c>
    </row>
    <row r="101" spans="1:24" x14ac:dyDescent="0.35">
      <c r="A101" s="43" t="s">
        <v>163</v>
      </c>
      <c r="B101" s="22" t="s">
        <v>68</v>
      </c>
      <c r="C101" s="40" t="str">
        <f>INDEX(Dim_Product!$B:B, MATCH($A101,Dim_Product!$A:$A,0))</f>
        <v>Cropped Blazer</v>
      </c>
      <c r="D101" s="40" t="str">
        <f>INDEX(Dim_Product!$D:D, MATCH($A101,Dim_Product!$A:$A,0))</f>
        <v>Outerwear</v>
      </c>
      <c r="E101" s="40" t="str">
        <f>INDEX(Dim_Product!$E:E, MATCH($A101,Dim_Product!$A:$A,0))</f>
        <v>Check</v>
      </c>
      <c r="F101" s="40" t="str">
        <f>INDEX(Dim_Product!$F:F, MATCH($A101,Dim_Product!$A:$A,0))</f>
        <v>Seasonal</v>
      </c>
      <c r="G101" s="41">
        <f>INDEX(Dim_Product!$G:G, MATCH($A101,Dim_Product!$A:$A,0))</f>
        <v>59.99</v>
      </c>
      <c r="H101" s="18">
        <f>SUMIFS(Fact_Weekly!$D$2:$D$1500,Fact_Weekly!$B$2:$B$1500,$A101,Fact_Weekly!$C$2:$C$1500,$B101)</f>
        <v>268</v>
      </c>
      <c r="I101" s="18">
        <f>SUMIFS(Fact_Weekly!$E$2:$E$1500,Fact_Weekly!$B$2:$B$1500,$A101,Fact_Weekly!$C$2:$C$1500,$B101)</f>
        <v>117</v>
      </c>
      <c r="J101" s="18">
        <f t="shared" si="11"/>
        <v>151</v>
      </c>
      <c r="K101" s="19">
        <f t="shared" si="13"/>
        <v>0.43656716417910446</v>
      </c>
      <c r="L101" s="18">
        <f>SUMIFS(Fact_Weekly!$E$2:$E$1500,Fact_Weekly!$B$2:$B$1500,$A101,Fact_Weekly!$C$2:$C$1500,$B101,Fact_Weekly!$A$2:$A$1500,"&gt;="&amp;(Assumptions!$B$12-Assumptions!$B$11+1))</f>
        <v>23</v>
      </c>
      <c r="M101" s="42">
        <f>L101/Assumptions!$B$11</f>
        <v>5.75</v>
      </c>
      <c r="N101" s="18">
        <f>COUNTIFS(Fact_Weekly!$B$2:$B$1500,$A101,Fact_Weekly!$C$2:$C$1500,$B101,Fact_Weekly!$G$2:$G$1500,"&gt;0")</f>
        <v>12</v>
      </c>
      <c r="O101" s="42">
        <f t="shared" si="14"/>
        <v>9.75</v>
      </c>
      <c r="P101" s="42">
        <f>IF(M101&gt;0,J101/M101,IF(J101&gt;0,Assumptions!$B$12,0))</f>
        <v>26.260869565217391</v>
      </c>
      <c r="Q101" s="21">
        <f>IF(AND(N101&lt;Assumptions!$B$12,K101&gt;=0.99),1,0)</f>
        <v>0</v>
      </c>
      <c r="R101" s="42">
        <f t="shared" si="12"/>
        <v>5.75</v>
      </c>
      <c r="S101" s="42">
        <f>IF(Q101=1,(Assumptions!$B$12-N101)*(H101/Assumptions!$B$12),0)</f>
        <v>0</v>
      </c>
      <c r="T101" s="20">
        <f>S101*G101</f>
        <v>0</v>
      </c>
      <c r="U101" s="21">
        <f>IF(OR(K101&gt;=Assumptions!$B$5,Q101=1,AND(F101="Core",P101&lt;Assumptions!$B$7)),1,0)</f>
        <v>0</v>
      </c>
      <c r="V101" s="21">
        <f>IF(AND(F101="Seasonal",K101&lt;Assumptions!$B$6,P101&gt;Assumptions!$B$8),1,0)</f>
        <v>1</v>
      </c>
      <c r="W101" s="18">
        <f>IF(U101=1,ROUND(MAX(0,Assumptions!$B$9*R101-J101),0),0)</f>
        <v>0</v>
      </c>
      <c r="X101" s="44" t="str">
        <f t="shared" si="15"/>
        <v>Markdown / clear</v>
      </c>
    </row>
    <row r="102" spans="1:24" x14ac:dyDescent="0.35">
      <c r="A102" s="43" t="s">
        <v>165</v>
      </c>
      <c r="B102" s="22" t="s">
        <v>62</v>
      </c>
      <c r="C102" s="40" t="str">
        <f>INDEX(Dim_Product!$B:B, MATCH($A102,Dim_Product!$A:$A,0))</f>
        <v>Wide-Leg Trouser</v>
      </c>
      <c r="D102" s="40" t="str">
        <f>INDEX(Dim_Product!$D:D, MATCH($A102,Dim_Product!$A:$A,0))</f>
        <v>Trousers</v>
      </c>
      <c r="E102" s="40" t="str">
        <f>INDEX(Dim_Product!$E:E, MATCH($A102,Dim_Product!$A:$A,0))</f>
        <v>Ecru</v>
      </c>
      <c r="F102" s="40" t="str">
        <f>INDEX(Dim_Product!$F:F, MATCH($A102,Dim_Product!$A:$A,0))</f>
        <v>Seasonal</v>
      </c>
      <c r="G102" s="41">
        <f>INDEX(Dim_Product!$G:G, MATCH($A102,Dim_Product!$A:$A,0))</f>
        <v>41.99</v>
      </c>
      <c r="H102" s="18">
        <f>SUMIFS(Fact_Weekly!$D$2:$D$1500,Fact_Weekly!$B$2:$B$1500,$A102,Fact_Weekly!$C$2:$C$1500,$B102)</f>
        <v>151</v>
      </c>
      <c r="I102" s="18">
        <f>SUMIFS(Fact_Weekly!$E$2:$E$1500,Fact_Weekly!$B$2:$B$1500,$A102,Fact_Weekly!$C$2:$C$1500,$B102)</f>
        <v>115</v>
      </c>
      <c r="J102" s="18">
        <f t="shared" si="11"/>
        <v>36</v>
      </c>
      <c r="K102" s="19">
        <f t="shared" si="13"/>
        <v>0.76158940397350994</v>
      </c>
      <c r="L102" s="18">
        <f>SUMIFS(Fact_Weekly!$E$2:$E$1500,Fact_Weekly!$B$2:$B$1500,$A102,Fact_Weekly!$C$2:$C$1500,$B102,Fact_Weekly!$A$2:$A$1500,"&gt;="&amp;(Assumptions!$B$12-Assumptions!$B$11+1))</f>
        <v>35</v>
      </c>
      <c r="M102" s="42">
        <f>L102/Assumptions!$B$11</f>
        <v>8.75</v>
      </c>
      <c r="N102" s="18">
        <f>COUNTIFS(Fact_Weekly!$B$2:$B$1500,$A102,Fact_Weekly!$C$2:$C$1500,$B102,Fact_Weekly!$G$2:$G$1500,"&gt;0")</f>
        <v>12</v>
      </c>
      <c r="O102" s="42">
        <f t="shared" si="14"/>
        <v>9.5833333333333339</v>
      </c>
      <c r="P102" s="42">
        <f>IF(M102&gt;0,J102/M102,IF(J102&gt;0,Assumptions!$B$12,0))</f>
        <v>4.1142857142857139</v>
      </c>
      <c r="Q102" s="21">
        <f>IF(AND(N102&lt;Assumptions!$B$12,K102&gt;=0.99),1,0)</f>
        <v>0</v>
      </c>
      <c r="R102" s="42">
        <f t="shared" si="12"/>
        <v>8.75</v>
      </c>
      <c r="S102" s="42">
        <f>IF(Q102=1,(Assumptions!$B$12-N102)*(H102/Assumptions!$B$12),0)</f>
        <v>0</v>
      </c>
      <c r="T102" s="20">
        <f>S102*G102</f>
        <v>0</v>
      </c>
      <c r="U102" s="21">
        <f>IF(OR(K102&gt;=Assumptions!$B$5,Q102=1,AND(F102="Core",P102&lt;Assumptions!$B$7)),1,0)</f>
        <v>0</v>
      </c>
      <c r="V102" s="21">
        <f>IF(AND(F102="Seasonal",K102&lt;Assumptions!$B$6,P102&gt;Assumptions!$B$8),1,0)</f>
        <v>0</v>
      </c>
      <c r="W102" s="18">
        <f>IF(U102=1,ROUND(MAX(0,Assumptions!$B$9*R102-J102),0),0)</f>
        <v>0</v>
      </c>
      <c r="X102" s="44" t="str">
        <f t="shared" si="15"/>
        <v>Maintain / monitor</v>
      </c>
    </row>
    <row r="103" spans="1:24" x14ac:dyDescent="0.35">
      <c r="A103" s="43" t="s">
        <v>165</v>
      </c>
      <c r="B103" s="22" t="s">
        <v>64</v>
      </c>
      <c r="C103" s="40" t="str">
        <f>INDEX(Dim_Product!$B:B, MATCH($A103,Dim_Product!$A:$A,0))</f>
        <v>Wide-Leg Trouser</v>
      </c>
      <c r="D103" s="40" t="str">
        <f>INDEX(Dim_Product!$D:D, MATCH($A103,Dim_Product!$A:$A,0))</f>
        <v>Trousers</v>
      </c>
      <c r="E103" s="40" t="str">
        <f>INDEX(Dim_Product!$E:E, MATCH($A103,Dim_Product!$A:$A,0))</f>
        <v>Ecru</v>
      </c>
      <c r="F103" s="40" t="str">
        <f>INDEX(Dim_Product!$F:F, MATCH($A103,Dim_Product!$A:$A,0))</f>
        <v>Seasonal</v>
      </c>
      <c r="G103" s="41">
        <f>INDEX(Dim_Product!$G:G, MATCH($A103,Dim_Product!$A:$A,0))</f>
        <v>41.99</v>
      </c>
      <c r="H103" s="18">
        <f>SUMIFS(Fact_Weekly!$D$2:$D$1500,Fact_Weekly!$B$2:$B$1500,$A103,Fact_Weekly!$C$2:$C$1500,$B103)</f>
        <v>191</v>
      </c>
      <c r="I103" s="18">
        <f>SUMIFS(Fact_Weekly!$E$2:$E$1500,Fact_Weekly!$B$2:$B$1500,$A103,Fact_Weekly!$C$2:$C$1500,$B103)</f>
        <v>155</v>
      </c>
      <c r="J103" s="18">
        <f t="shared" si="11"/>
        <v>36</v>
      </c>
      <c r="K103" s="19">
        <f t="shared" si="13"/>
        <v>0.81151832460732987</v>
      </c>
      <c r="L103" s="18">
        <f>SUMIFS(Fact_Weekly!$E$2:$E$1500,Fact_Weekly!$B$2:$B$1500,$A103,Fact_Weekly!$C$2:$C$1500,$B103,Fact_Weekly!$A$2:$A$1500,"&gt;="&amp;(Assumptions!$B$12-Assumptions!$B$11+1))</f>
        <v>49</v>
      </c>
      <c r="M103" s="42">
        <f>L103/Assumptions!$B$11</f>
        <v>12.25</v>
      </c>
      <c r="N103" s="18">
        <f>COUNTIFS(Fact_Weekly!$B$2:$B$1500,$A103,Fact_Weekly!$C$2:$C$1500,$B103,Fact_Weekly!$G$2:$G$1500,"&gt;0")</f>
        <v>12</v>
      </c>
      <c r="O103" s="42">
        <f t="shared" si="14"/>
        <v>12.916666666666666</v>
      </c>
      <c r="P103" s="42">
        <f>IF(M103&gt;0,J103/M103,IF(J103&gt;0,Assumptions!$B$12,0))</f>
        <v>2.9387755102040818</v>
      </c>
      <c r="Q103" s="21">
        <f>IF(AND(N103&lt;Assumptions!$B$12,K103&gt;=0.99),1,0)</f>
        <v>0</v>
      </c>
      <c r="R103" s="42">
        <f t="shared" si="12"/>
        <v>12.25</v>
      </c>
      <c r="S103" s="42">
        <f>IF(Q103=1,(Assumptions!$B$12-N103)*(H103/Assumptions!$B$12),0)</f>
        <v>0</v>
      </c>
      <c r="T103" s="20">
        <f>S103*G103</f>
        <v>0</v>
      </c>
      <c r="U103" s="21">
        <f>IF(OR(K103&gt;=Assumptions!$B$5,Q103=1,AND(F103="Core",P103&lt;Assumptions!$B$7)),1,0)</f>
        <v>1</v>
      </c>
      <c r="V103" s="21">
        <f>IF(AND(F103="Seasonal",K103&lt;Assumptions!$B$6,P103&gt;Assumptions!$B$8),1,0)</f>
        <v>0</v>
      </c>
      <c r="W103" s="18">
        <f>IF(U103=1,ROUND(MAX(0,Assumptions!$B$9*R103-J103),0),0)</f>
        <v>38</v>
      </c>
      <c r="X103" s="44" t="str">
        <f t="shared" si="15"/>
        <v>Reorder / replenish</v>
      </c>
    </row>
    <row r="104" spans="1:24" x14ac:dyDescent="0.35">
      <c r="A104" s="43" t="s">
        <v>165</v>
      </c>
      <c r="B104" s="22" t="s">
        <v>66</v>
      </c>
      <c r="C104" s="40" t="str">
        <f>INDEX(Dim_Product!$B:B, MATCH($A104,Dim_Product!$A:$A,0))</f>
        <v>Wide-Leg Trouser</v>
      </c>
      <c r="D104" s="40" t="str">
        <f>INDEX(Dim_Product!$D:D, MATCH($A104,Dim_Product!$A:$A,0))</f>
        <v>Trousers</v>
      </c>
      <c r="E104" s="40" t="str">
        <f>INDEX(Dim_Product!$E:E, MATCH($A104,Dim_Product!$A:$A,0))</f>
        <v>Ecru</v>
      </c>
      <c r="F104" s="40" t="str">
        <f>INDEX(Dim_Product!$F:F, MATCH($A104,Dim_Product!$A:$A,0))</f>
        <v>Seasonal</v>
      </c>
      <c r="G104" s="41">
        <f>INDEX(Dim_Product!$G:G, MATCH($A104,Dim_Product!$A:$A,0))</f>
        <v>41.99</v>
      </c>
      <c r="H104" s="18">
        <f>SUMIFS(Fact_Weekly!$D$2:$D$1500,Fact_Weekly!$B$2:$B$1500,$A104,Fact_Weekly!$C$2:$C$1500,$B104)</f>
        <v>115</v>
      </c>
      <c r="I104" s="18">
        <f>SUMIFS(Fact_Weekly!$E$2:$E$1500,Fact_Weekly!$B$2:$B$1500,$A104,Fact_Weekly!$C$2:$C$1500,$B104)</f>
        <v>85</v>
      </c>
      <c r="J104" s="18">
        <f t="shared" si="11"/>
        <v>30</v>
      </c>
      <c r="K104" s="19">
        <f t="shared" si="13"/>
        <v>0.73913043478260865</v>
      </c>
      <c r="L104" s="18">
        <f>SUMIFS(Fact_Weekly!$E$2:$E$1500,Fact_Weekly!$B$2:$B$1500,$A104,Fact_Weekly!$C$2:$C$1500,$B104,Fact_Weekly!$A$2:$A$1500,"&gt;="&amp;(Assumptions!$B$12-Assumptions!$B$11+1))</f>
        <v>30</v>
      </c>
      <c r="M104" s="42">
        <f>L104/Assumptions!$B$11</f>
        <v>7.5</v>
      </c>
      <c r="N104" s="18">
        <f>COUNTIFS(Fact_Weekly!$B$2:$B$1500,$A104,Fact_Weekly!$C$2:$C$1500,$B104,Fact_Weekly!$G$2:$G$1500,"&gt;0")</f>
        <v>12</v>
      </c>
      <c r="O104" s="42">
        <f t="shared" si="14"/>
        <v>7.083333333333333</v>
      </c>
      <c r="P104" s="42">
        <f>IF(M104&gt;0,J104/M104,IF(J104&gt;0,Assumptions!$B$12,0))</f>
        <v>4</v>
      </c>
      <c r="Q104" s="21">
        <f>IF(AND(N104&lt;Assumptions!$B$12,K104&gt;=0.99),1,0)</f>
        <v>0</v>
      </c>
      <c r="R104" s="42">
        <f t="shared" si="12"/>
        <v>7.5</v>
      </c>
      <c r="S104" s="42">
        <f>IF(Q104=1,(Assumptions!$B$12-N104)*(H104/Assumptions!$B$12),0)</f>
        <v>0</v>
      </c>
      <c r="T104" s="20">
        <f>S104*G104</f>
        <v>0</v>
      </c>
      <c r="U104" s="21">
        <f>IF(OR(K104&gt;=Assumptions!$B$5,Q104=1,AND(F104="Core",P104&lt;Assumptions!$B$7)),1,0)</f>
        <v>0</v>
      </c>
      <c r="V104" s="21">
        <f>IF(AND(F104="Seasonal",K104&lt;Assumptions!$B$6,P104&gt;Assumptions!$B$8),1,0)</f>
        <v>0</v>
      </c>
      <c r="W104" s="18">
        <f>IF(U104=1,ROUND(MAX(0,Assumptions!$B$9*R104-J104),0),0)</f>
        <v>0</v>
      </c>
      <c r="X104" s="44" t="str">
        <f t="shared" si="15"/>
        <v>Maintain / monitor</v>
      </c>
    </row>
    <row r="105" spans="1:24" x14ac:dyDescent="0.35">
      <c r="A105" s="43" t="s">
        <v>165</v>
      </c>
      <c r="B105" s="22" t="s">
        <v>68</v>
      </c>
      <c r="C105" s="40" t="str">
        <f>INDEX(Dim_Product!$B:B, MATCH($A105,Dim_Product!$A:$A,0))</f>
        <v>Wide-Leg Trouser</v>
      </c>
      <c r="D105" s="40" t="str">
        <f>INDEX(Dim_Product!$D:D, MATCH($A105,Dim_Product!$A:$A,0))</f>
        <v>Trousers</v>
      </c>
      <c r="E105" s="40" t="str">
        <f>INDEX(Dim_Product!$E:E, MATCH($A105,Dim_Product!$A:$A,0))</f>
        <v>Ecru</v>
      </c>
      <c r="F105" s="40" t="str">
        <f>INDEX(Dim_Product!$F:F, MATCH($A105,Dim_Product!$A:$A,0))</f>
        <v>Seasonal</v>
      </c>
      <c r="G105" s="41">
        <f>INDEX(Dim_Product!$G:G, MATCH($A105,Dim_Product!$A:$A,0))</f>
        <v>41.99</v>
      </c>
      <c r="H105" s="18">
        <f>SUMIFS(Fact_Weekly!$D$2:$D$1500,Fact_Weekly!$B$2:$B$1500,$A105,Fact_Weekly!$C$2:$C$1500,$B105)</f>
        <v>179</v>
      </c>
      <c r="I105" s="18">
        <f>SUMIFS(Fact_Weekly!$E$2:$E$1500,Fact_Weekly!$B$2:$B$1500,$A105,Fact_Weekly!$C$2:$C$1500,$B105)</f>
        <v>125</v>
      </c>
      <c r="J105" s="18">
        <f t="shared" si="11"/>
        <v>54</v>
      </c>
      <c r="K105" s="19">
        <f t="shared" si="13"/>
        <v>0.6983240223463687</v>
      </c>
      <c r="L105" s="18">
        <f>SUMIFS(Fact_Weekly!$E$2:$E$1500,Fact_Weekly!$B$2:$B$1500,$A105,Fact_Weekly!$C$2:$C$1500,$B105,Fact_Weekly!$A$2:$A$1500,"&gt;="&amp;(Assumptions!$B$12-Assumptions!$B$11+1))</f>
        <v>41</v>
      </c>
      <c r="M105" s="42">
        <f>L105/Assumptions!$B$11</f>
        <v>10.25</v>
      </c>
      <c r="N105" s="18">
        <f>COUNTIFS(Fact_Weekly!$B$2:$B$1500,$A105,Fact_Weekly!$C$2:$C$1500,$B105,Fact_Weekly!$G$2:$G$1500,"&gt;0")</f>
        <v>12</v>
      </c>
      <c r="O105" s="42">
        <f t="shared" si="14"/>
        <v>10.416666666666666</v>
      </c>
      <c r="P105" s="42">
        <f>IF(M105&gt;0,J105/M105,IF(J105&gt;0,Assumptions!$B$12,0))</f>
        <v>5.2682926829268295</v>
      </c>
      <c r="Q105" s="21">
        <f>IF(AND(N105&lt;Assumptions!$B$12,K105&gt;=0.99),1,0)</f>
        <v>0</v>
      </c>
      <c r="R105" s="42">
        <f t="shared" si="12"/>
        <v>10.25</v>
      </c>
      <c r="S105" s="42">
        <f>IF(Q105=1,(Assumptions!$B$12-N105)*(H105/Assumptions!$B$12),0)</f>
        <v>0</v>
      </c>
      <c r="T105" s="20">
        <f>S105*G105</f>
        <v>0</v>
      </c>
      <c r="U105" s="21">
        <f>IF(OR(K105&gt;=Assumptions!$B$5,Q105=1,AND(F105="Core",P105&lt;Assumptions!$B$7)),1,0)</f>
        <v>0</v>
      </c>
      <c r="V105" s="21">
        <f>IF(AND(F105="Seasonal",K105&lt;Assumptions!$B$6,P105&gt;Assumptions!$B$8),1,0)</f>
        <v>0</v>
      </c>
      <c r="W105" s="18">
        <f>IF(U105=1,ROUND(MAX(0,Assumptions!$B$9*R105-J105),0),0)</f>
        <v>0</v>
      </c>
      <c r="X105" s="44" t="str">
        <f t="shared" si="15"/>
        <v>Maintain / monitor</v>
      </c>
    </row>
    <row r="106" spans="1:24" x14ac:dyDescent="0.35">
      <c r="A106" s="43" t="s">
        <v>168</v>
      </c>
      <c r="B106" s="22" t="s">
        <v>62</v>
      </c>
      <c r="C106" s="40" t="str">
        <f>INDEX(Dim_Product!$B:B, MATCH($A106,Dim_Product!$A:$A,0))</f>
        <v>Wide-Leg Trouser</v>
      </c>
      <c r="D106" s="40" t="str">
        <f>INDEX(Dim_Product!$D:D, MATCH($A106,Dim_Product!$A:$A,0))</f>
        <v>Trousers</v>
      </c>
      <c r="E106" s="40" t="str">
        <f>INDEX(Dim_Product!$E:E, MATCH($A106,Dim_Product!$A:$A,0))</f>
        <v>Black</v>
      </c>
      <c r="F106" s="40" t="str">
        <f>INDEX(Dim_Product!$F:F, MATCH($A106,Dim_Product!$A:$A,0))</f>
        <v>Seasonal</v>
      </c>
      <c r="G106" s="41">
        <f>INDEX(Dim_Product!$G:G, MATCH($A106,Dim_Product!$A:$A,0))</f>
        <v>41.99</v>
      </c>
      <c r="H106" s="18">
        <f>SUMIFS(Fact_Weekly!$D$2:$D$1500,Fact_Weekly!$B$2:$B$1500,$A106,Fact_Weekly!$C$2:$C$1500,$B106)</f>
        <v>131</v>
      </c>
      <c r="I106" s="18">
        <f>SUMIFS(Fact_Weekly!$E$2:$E$1500,Fact_Weekly!$B$2:$B$1500,$A106,Fact_Weekly!$C$2:$C$1500,$B106)</f>
        <v>87</v>
      </c>
      <c r="J106" s="18">
        <f t="shared" si="11"/>
        <v>44</v>
      </c>
      <c r="K106" s="19">
        <f t="shared" si="13"/>
        <v>0.66412213740458015</v>
      </c>
      <c r="L106" s="18">
        <f>SUMIFS(Fact_Weekly!$E$2:$E$1500,Fact_Weekly!$B$2:$B$1500,$A106,Fact_Weekly!$C$2:$C$1500,$B106,Fact_Weekly!$A$2:$A$1500,"&gt;="&amp;(Assumptions!$B$12-Assumptions!$B$11+1))</f>
        <v>31</v>
      </c>
      <c r="M106" s="42">
        <f>L106/Assumptions!$B$11</f>
        <v>7.75</v>
      </c>
      <c r="N106" s="18">
        <f>COUNTIFS(Fact_Weekly!$B$2:$B$1500,$A106,Fact_Weekly!$C$2:$C$1500,$B106,Fact_Weekly!$G$2:$G$1500,"&gt;0")</f>
        <v>12</v>
      </c>
      <c r="O106" s="42">
        <f t="shared" si="14"/>
        <v>7.25</v>
      </c>
      <c r="P106" s="42">
        <f>IF(M106&gt;0,J106/M106,IF(J106&gt;0,Assumptions!$B$12,0))</f>
        <v>5.67741935483871</v>
      </c>
      <c r="Q106" s="21">
        <f>IF(AND(N106&lt;Assumptions!$B$12,K106&gt;=0.99),1,0)</f>
        <v>0</v>
      </c>
      <c r="R106" s="42">
        <f t="shared" si="12"/>
        <v>7.75</v>
      </c>
      <c r="S106" s="42">
        <f>IF(Q106=1,(Assumptions!$B$12-N106)*(H106/Assumptions!$B$12),0)</f>
        <v>0</v>
      </c>
      <c r="T106" s="20">
        <f>S106*G106</f>
        <v>0</v>
      </c>
      <c r="U106" s="21">
        <f>IF(OR(K106&gt;=Assumptions!$B$5,Q106=1,AND(F106="Core",P106&lt;Assumptions!$B$7)),1,0)</f>
        <v>0</v>
      </c>
      <c r="V106" s="21">
        <f>IF(AND(F106="Seasonal",K106&lt;Assumptions!$B$6,P106&gt;Assumptions!$B$8),1,0)</f>
        <v>0</v>
      </c>
      <c r="W106" s="18">
        <f>IF(U106=1,ROUND(MAX(0,Assumptions!$B$9*R106-J106),0),0)</f>
        <v>0</v>
      </c>
      <c r="X106" s="44" t="str">
        <f t="shared" si="15"/>
        <v>Maintain / monitor</v>
      </c>
    </row>
    <row r="107" spans="1:24" x14ac:dyDescent="0.35">
      <c r="A107" s="43" t="s">
        <v>168</v>
      </c>
      <c r="B107" s="22" t="s">
        <v>64</v>
      </c>
      <c r="C107" s="40" t="str">
        <f>INDEX(Dim_Product!$B:B, MATCH($A107,Dim_Product!$A:$A,0))</f>
        <v>Wide-Leg Trouser</v>
      </c>
      <c r="D107" s="40" t="str">
        <f>INDEX(Dim_Product!$D:D, MATCH($A107,Dim_Product!$A:$A,0))</f>
        <v>Trousers</v>
      </c>
      <c r="E107" s="40" t="str">
        <f>INDEX(Dim_Product!$E:E, MATCH($A107,Dim_Product!$A:$A,0))</f>
        <v>Black</v>
      </c>
      <c r="F107" s="40" t="str">
        <f>INDEX(Dim_Product!$F:F, MATCH($A107,Dim_Product!$A:$A,0))</f>
        <v>Seasonal</v>
      </c>
      <c r="G107" s="41">
        <f>INDEX(Dim_Product!$G:G, MATCH($A107,Dim_Product!$A:$A,0))</f>
        <v>41.99</v>
      </c>
      <c r="H107" s="18">
        <f>SUMIFS(Fact_Weekly!$D$2:$D$1500,Fact_Weekly!$B$2:$B$1500,$A107,Fact_Weekly!$C$2:$C$1500,$B107)</f>
        <v>184</v>
      </c>
      <c r="I107" s="18">
        <f>SUMIFS(Fact_Weekly!$E$2:$E$1500,Fact_Weekly!$B$2:$B$1500,$A107,Fact_Weekly!$C$2:$C$1500,$B107)</f>
        <v>123</v>
      </c>
      <c r="J107" s="18">
        <f t="shared" si="11"/>
        <v>61</v>
      </c>
      <c r="K107" s="19">
        <f t="shared" si="13"/>
        <v>0.66847826086956519</v>
      </c>
      <c r="L107" s="18">
        <f>SUMIFS(Fact_Weekly!$E$2:$E$1500,Fact_Weekly!$B$2:$B$1500,$A107,Fact_Weekly!$C$2:$C$1500,$B107,Fact_Weekly!$A$2:$A$1500,"&gt;="&amp;(Assumptions!$B$12-Assumptions!$B$11+1))</f>
        <v>39</v>
      </c>
      <c r="M107" s="42">
        <f>L107/Assumptions!$B$11</f>
        <v>9.75</v>
      </c>
      <c r="N107" s="18">
        <f>COUNTIFS(Fact_Weekly!$B$2:$B$1500,$A107,Fact_Weekly!$C$2:$C$1500,$B107,Fact_Weekly!$G$2:$G$1500,"&gt;0")</f>
        <v>12</v>
      </c>
      <c r="O107" s="42">
        <f t="shared" si="14"/>
        <v>10.25</v>
      </c>
      <c r="P107" s="42">
        <f>IF(M107&gt;0,J107/M107,IF(J107&gt;0,Assumptions!$B$12,0))</f>
        <v>6.2564102564102564</v>
      </c>
      <c r="Q107" s="21">
        <f>IF(AND(N107&lt;Assumptions!$B$12,K107&gt;=0.99),1,0)</f>
        <v>0</v>
      </c>
      <c r="R107" s="42">
        <f t="shared" si="12"/>
        <v>9.75</v>
      </c>
      <c r="S107" s="42">
        <f>IF(Q107=1,(Assumptions!$B$12-N107)*(H107/Assumptions!$B$12),0)</f>
        <v>0</v>
      </c>
      <c r="T107" s="20">
        <f>S107*G107</f>
        <v>0</v>
      </c>
      <c r="U107" s="21">
        <f>IF(OR(K107&gt;=Assumptions!$B$5,Q107=1,AND(F107="Core",P107&lt;Assumptions!$B$7)),1,0)</f>
        <v>0</v>
      </c>
      <c r="V107" s="21">
        <f>IF(AND(F107="Seasonal",K107&lt;Assumptions!$B$6,P107&gt;Assumptions!$B$8),1,0)</f>
        <v>0</v>
      </c>
      <c r="W107" s="18">
        <f>IF(U107=1,ROUND(MAX(0,Assumptions!$B$9*R107-J107),0),0)</f>
        <v>0</v>
      </c>
      <c r="X107" s="44" t="str">
        <f t="shared" si="15"/>
        <v>Maintain / monitor</v>
      </c>
    </row>
    <row r="108" spans="1:24" x14ac:dyDescent="0.35">
      <c r="A108" s="43" t="s">
        <v>168</v>
      </c>
      <c r="B108" s="22" t="s">
        <v>66</v>
      </c>
      <c r="C108" s="40" t="str">
        <f>INDEX(Dim_Product!$B:B, MATCH($A108,Dim_Product!$A:$A,0))</f>
        <v>Wide-Leg Trouser</v>
      </c>
      <c r="D108" s="40" t="str">
        <f>INDEX(Dim_Product!$D:D, MATCH($A108,Dim_Product!$A:$A,0))</f>
        <v>Trousers</v>
      </c>
      <c r="E108" s="40" t="str">
        <f>INDEX(Dim_Product!$E:E, MATCH($A108,Dim_Product!$A:$A,0))</f>
        <v>Black</v>
      </c>
      <c r="F108" s="40" t="str">
        <f>INDEX(Dim_Product!$F:F, MATCH($A108,Dim_Product!$A:$A,0))</f>
        <v>Seasonal</v>
      </c>
      <c r="G108" s="41">
        <f>INDEX(Dim_Product!$G:G, MATCH($A108,Dim_Product!$A:$A,0))</f>
        <v>41.99</v>
      </c>
      <c r="H108" s="18">
        <f>SUMIFS(Fact_Weekly!$D$2:$D$1500,Fact_Weekly!$B$2:$B$1500,$A108,Fact_Weekly!$C$2:$C$1500,$B108)</f>
        <v>108</v>
      </c>
      <c r="I108" s="18">
        <f>SUMIFS(Fact_Weekly!$E$2:$E$1500,Fact_Weekly!$B$2:$B$1500,$A108,Fact_Weekly!$C$2:$C$1500,$B108)</f>
        <v>80</v>
      </c>
      <c r="J108" s="18">
        <f t="shared" si="11"/>
        <v>28</v>
      </c>
      <c r="K108" s="19">
        <f t="shared" si="13"/>
        <v>0.7407407407407407</v>
      </c>
      <c r="L108" s="18">
        <f>SUMIFS(Fact_Weekly!$E$2:$E$1500,Fact_Weekly!$B$2:$B$1500,$A108,Fact_Weekly!$C$2:$C$1500,$B108,Fact_Weekly!$A$2:$A$1500,"&gt;="&amp;(Assumptions!$B$12-Assumptions!$B$11+1))</f>
        <v>27</v>
      </c>
      <c r="M108" s="42">
        <f>L108/Assumptions!$B$11</f>
        <v>6.75</v>
      </c>
      <c r="N108" s="18">
        <f>COUNTIFS(Fact_Weekly!$B$2:$B$1500,$A108,Fact_Weekly!$C$2:$C$1500,$B108,Fact_Weekly!$G$2:$G$1500,"&gt;0")</f>
        <v>12</v>
      </c>
      <c r="O108" s="42">
        <f t="shared" si="14"/>
        <v>6.666666666666667</v>
      </c>
      <c r="P108" s="42">
        <f>IF(M108&gt;0,J108/M108,IF(J108&gt;0,Assumptions!$B$12,0))</f>
        <v>4.1481481481481479</v>
      </c>
      <c r="Q108" s="21">
        <f>IF(AND(N108&lt;Assumptions!$B$12,K108&gt;=0.99),1,0)</f>
        <v>0</v>
      </c>
      <c r="R108" s="42">
        <f t="shared" si="12"/>
        <v>6.75</v>
      </c>
      <c r="S108" s="42">
        <f>IF(Q108=1,(Assumptions!$B$12-N108)*(H108/Assumptions!$B$12),0)</f>
        <v>0</v>
      </c>
      <c r="T108" s="20">
        <f>S108*G108</f>
        <v>0</v>
      </c>
      <c r="U108" s="21">
        <f>IF(OR(K108&gt;=Assumptions!$B$5,Q108=1,AND(F108="Core",P108&lt;Assumptions!$B$7)),1,0)</f>
        <v>0</v>
      </c>
      <c r="V108" s="21">
        <f>IF(AND(F108="Seasonal",K108&lt;Assumptions!$B$6,P108&gt;Assumptions!$B$8),1,0)</f>
        <v>0</v>
      </c>
      <c r="W108" s="18">
        <f>IF(U108=1,ROUND(MAX(0,Assumptions!$B$9*R108-J108),0),0)</f>
        <v>0</v>
      </c>
      <c r="X108" s="44" t="str">
        <f t="shared" si="15"/>
        <v>Maintain / monitor</v>
      </c>
    </row>
    <row r="109" spans="1:24" x14ac:dyDescent="0.35">
      <c r="A109" s="43" t="s">
        <v>168</v>
      </c>
      <c r="B109" s="22" t="s">
        <v>68</v>
      </c>
      <c r="C109" s="40" t="str">
        <f>INDEX(Dim_Product!$B:B, MATCH($A109,Dim_Product!$A:$A,0))</f>
        <v>Wide-Leg Trouser</v>
      </c>
      <c r="D109" s="40" t="str">
        <f>INDEX(Dim_Product!$D:D, MATCH($A109,Dim_Product!$A:$A,0))</f>
        <v>Trousers</v>
      </c>
      <c r="E109" s="40" t="str">
        <f>INDEX(Dim_Product!$E:E, MATCH($A109,Dim_Product!$A:$A,0))</f>
        <v>Black</v>
      </c>
      <c r="F109" s="40" t="str">
        <f>INDEX(Dim_Product!$F:F, MATCH($A109,Dim_Product!$A:$A,0))</f>
        <v>Seasonal</v>
      </c>
      <c r="G109" s="41">
        <f>INDEX(Dim_Product!$G:G, MATCH($A109,Dim_Product!$A:$A,0))</f>
        <v>41.99</v>
      </c>
      <c r="H109" s="18">
        <f>SUMIFS(Fact_Weekly!$D$2:$D$1500,Fact_Weekly!$B$2:$B$1500,$A109,Fact_Weekly!$C$2:$C$1500,$B109)</f>
        <v>131</v>
      </c>
      <c r="I109" s="18">
        <f>SUMIFS(Fact_Weekly!$E$2:$E$1500,Fact_Weekly!$B$2:$B$1500,$A109,Fact_Weekly!$C$2:$C$1500,$B109)</f>
        <v>104</v>
      </c>
      <c r="J109" s="18">
        <f t="shared" si="11"/>
        <v>27</v>
      </c>
      <c r="K109" s="19">
        <f t="shared" si="13"/>
        <v>0.79389312977099236</v>
      </c>
      <c r="L109" s="18">
        <f>SUMIFS(Fact_Weekly!$E$2:$E$1500,Fact_Weekly!$B$2:$B$1500,$A109,Fact_Weekly!$C$2:$C$1500,$B109,Fact_Weekly!$A$2:$A$1500,"&gt;="&amp;(Assumptions!$B$12-Assumptions!$B$11+1))</f>
        <v>34</v>
      </c>
      <c r="M109" s="42">
        <f>L109/Assumptions!$B$11</f>
        <v>8.5</v>
      </c>
      <c r="N109" s="18">
        <f>COUNTIFS(Fact_Weekly!$B$2:$B$1500,$A109,Fact_Weekly!$C$2:$C$1500,$B109,Fact_Weekly!$G$2:$G$1500,"&gt;0")</f>
        <v>12</v>
      </c>
      <c r="O109" s="42">
        <f t="shared" si="14"/>
        <v>8.6666666666666661</v>
      </c>
      <c r="P109" s="42">
        <f>IF(M109&gt;0,J109/M109,IF(J109&gt;0,Assumptions!$B$12,0))</f>
        <v>3.1764705882352939</v>
      </c>
      <c r="Q109" s="21">
        <f>IF(AND(N109&lt;Assumptions!$B$12,K109&gt;=0.99),1,0)</f>
        <v>0</v>
      </c>
      <c r="R109" s="42">
        <f t="shared" si="12"/>
        <v>8.5</v>
      </c>
      <c r="S109" s="42">
        <f>IF(Q109=1,(Assumptions!$B$12-N109)*(H109/Assumptions!$B$12),0)</f>
        <v>0</v>
      </c>
      <c r="T109" s="20">
        <f>S109*G109</f>
        <v>0</v>
      </c>
      <c r="U109" s="21">
        <f>IF(OR(K109&gt;=Assumptions!$B$5,Q109=1,AND(F109="Core",P109&lt;Assumptions!$B$7)),1,0)</f>
        <v>0</v>
      </c>
      <c r="V109" s="21">
        <f>IF(AND(F109="Seasonal",K109&lt;Assumptions!$B$6,P109&gt;Assumptions!$B$8),1,0)</f>
        <v>0</v>
      </c>
      <c r="W109" s="18">
        <f>IF(U109=1,ROUND(MAX(0,Assumptions!$B$9*R109-J109),0),0)</f>
        <v>0</v>
      </c>
      <c r="X109" s="44" t="str">
        <f t="shared" si="15"/>
        <v>Maintain / monitor</v>
      </c>
    </row>
    <row r="110" spans="1:24" x14ac:dyDescent="0.35">
      <c r="A110" s="43" t="s">
        <v>169</v>
      </c>
      <c r="B110" s="22" t="s">
        <v>62</v>
      </c>
      <c r="C110" s="40" t="str">
        <f>INDEX(Dim_Product!$B:B, MATCH($A110,Dim_Product!$A:$A,0))</f>
        <v>Wide-Leg Trouser</v>
      </c>
      <c r="D110" s="40" t="str">
        <f>INDEX(Dim_Product!$D:D, MATCH($A110,Dim_Product!$A:$A,0))</f>
        <v>Trousers</v>
      </c>
      <c r="E110" s="40" t="str">
        <f>INDEX(Dim_Product!$E:E, MATCH($A110,Dim_Product!$A:$A,0))</f>
        <v>Olive</v>
      </c>
      <c r="F110" s="40" t="str">
        <f>INDEX(Dim_Product!$F:F, MATCH($A110,Dim_Product!$A:$A,0))</f>
        <v>Seasonal</v>
      </c>
      <c r="G110" s="41">
        <f>INDEX(Dim_Product!$G:G, MATCH($A110,Dim_Product!$A:$A,0))</f>
        <v>41.99</v>
      </c>
      <c r="H110" s="18">
        <f>SUMIFS(Fact_Weekly!$D$2:$D$1500,Fact_Weekly!$B$2:$B$1500,$A110,Fact_Weekly!$C$2:$C$1500,$B110)</f>
        <v>128</v>
      </c>
      <c r="I110" s="18">
        <f>SUMIFS(Fact_Weekly!$E$2:$E$1500,Fact_Weekly!$B$2:$B$1500,$A110,Fact_Weekly!$C$2:$C$1500,$B110)</f>
        <v>80</v>
      </c>
      <c r="J110" s="18">
        <f t="shared" si="11"/>
        <v>48</v>
      </c>
      <c r="K110" s="19">
        <f t="shared" si="13"/>
        <v>0.625</v>
      </c>
      <c r="L110" s="18">
        <f>SUMIFS(Fact_Weekly!$E$2:$E$1500,Fact_Weekly!$B$2:$B$1500,$A110,Fact_Weekly!$C$2:$C$1500,$B110,Fact_Weekly!$A$2:$A$1500,"&gt;="&amp;(Assumptions!$B$12-Assumptions!$B$11+1))</f>
        <v>27</v>
      </c>
      <c r="M110" s="42">
        <f>L110/Assumptions!$B$11</f>
        <v>6.75</v>
      </c>
      <c r="N110" s="18">
        <f>COUNTIFS(Fact_Weekly!$B$2:$B$1500,$A110,Fact_Weekly!$C$2:$C$1500,$B110,Fact_Weekly!$G$2:$G$1500,"&gt;0")</f>
        <v>12</v>
      </c>
      <c r="O110" s="42">
        <f t="shared" si="14"/>
        <v>6.666666666666667</v>
      </c>
      <c r="P110" s="42">
        <f>IF(M110&gt;0,J110/M110,IF(J110&gt;0,Assumptions!$B$12,0))</f>
        <v>7.1111111111111107</v>
      </c>
      <c r="Q110" s="21">
        <f>IF(AND(N110&lt;Assumptions!$B$12,K110&gt;=0.99),1,0)</f>
        <v>0</v>
      </c>
      <c r="R110" s="42">
        <f t="shared" si="12"/>
        <v>6.75</v>
      </c>
      <c r="S110" s="42">
        <f>IF(Q110=1,(Assumptions!$B$12-N110)*(H110/Assumptions!$B$12),0)</f>
        <v>0</v>
      </c>
      <c r="T110" s="20">
        <f>S110*G110</f>
        <v>0</v>
      </c>
      <c r="U110" s="21">
        <f>IF(OR(K110&gt;=Assumptions!$B$5,Q110=1,AND(F110="Core",P110&lt;Assumptions!$B$7)),1,0)</f>
        <v>0</v>
      </c>
      <c r="V110" s="21">
        <f>IF(AND(F110="Seasonal",K110&lt;Assumptions!$B$6,P110&gt;Assumptions!$B$8),1,0)</f>
        <v>0</v>
      </c>
      <c r="W110" s="18">
        <f>IF(U110=1,ROUND(MAX(0,Assumptions!$B$9*R110-J110),0),0)</f>
        <v>0</v>
      </c>
      <c r="X110" s="44" t="str">
        <f t="shared" si="15"/>
        <v>Maintain / monitor</v>
      </c>
    </row>
    <row r="111" spans="1:24" x14ac:dyDescent="0.35">
      <c r="A111" s="43" t="s">
        <v>169</v>
      </c>
      <c r="B111" s="22" t="s">
        <v>64</v>
      </c>
      <c r="C111" s="40" t="str">
        <f>INDEX(Dim_Product!$B:B, MATCH($A111,Dim_Product!$A:$A,0))</f>
        <v>Wide-Leg Trouser</v>
      </c>
      <c r="D111" s="40" t="str">
        <f>INDEX(Dim_Product!$D:D, MATCH($A111,Dim_Product!$A:$A,0))</f>
        <v>Trousers</v>
      </c>
      <c r="E111" s="40" t="str">
        <f>INDEX(Dim_Product!$E:E, MATCH($A111,Dim_Product!$A:$A,0))</f>
        <v>Olive</v>
      </c>
      <c r="F111" s="40" t="str">
        <f>INDEX(Dim_Product!$F:F, MATCH($A111,Dim_Product!$A:$A,0))</f>
        <v>Seasonal</v>
      </c>
      <c r="G111" s="41">
        <f>INDEX(Dim_Product!$G:G, MATCH($A111,Dim_Product!$A:$A,0))</f>
        <v>41.99</v>
      </c>
      <c r="H111" s="18">
        <f>SUMIFS(Fact_Weekly!$D$2:$D$1500,Fact_Weekly!$B$2:$B$1500,$A111,Fact_Weekly!$C$2:$C$1500,$B111)</f>
        <v>171</v>
      </c>
      <c r="I111" s="18">
        <f>SUMIFS(Fact_Weekly!$E$2:$E$1500,Fact_Weekly!$B$2:$B$1500,$A111,Fact_Weekly!$C$2:$C$1500,$B111)</f>
        <v>123</v>
      </c>
      <c r="J111" s="18">
        <f t="shared" si="11"/>
        <v>48</v>
      </c>
      <c r="K111" s="19">
        <f t="shared" si="13"/>
        <v>0.7192982456140351</v>
      </c>
      <c r="L111" s="18">
        <f>SUMIFS(Fact_Weekly!$E$2:$E$1500,Fact_Weekly!$B$2:$B$1500,$A111,Fact_Weekly!$C$2:$C$1500,$B111,Fact_Weekly!$A$2:$A$1500,"&gt;="&amp;(Assumptions!$B$12-Assumptions!$B$11+1))</f>
        <v>46</v>
      </c>
      <c r="M111" s="42">
        <f>L111/Assumptions!$B$11</f>
        <v>11.5</v>
      </c>
      <c r="N111" s="18">
        <f>COUNTIFS(Fact_Weekly!$B$2:$B$1500,$A111,Fact_Weekly!$C$2:$C$1500,$B111,Fact_Weekly!$G$2:$G$1500,"&gt;0")</f>
        <v>12</v>
      </c>
      <c r="O111" s="42">
        <f t="shared" si="14"/>
        <v>10.25</v>
      </c>
      <c r="P111" s="42">
        <f>IF(M111&gt;0,J111/M111,IF(J111&gt;0,Assumptions!$B$12,0))</f>
        <v>4.1739130434782608</v>
      </c>
      <c r="Q111" s="21">
        <f>IF(AND(N111&lt;Assumptions!$B$12,K111&gt;=0.99),1,0)</f>
        <v>0</v>
      </c>
      <c r="R111" s="42">
        <f t="shared" si="12"/>
        <v>11.5</v>
      </c>
      <c r="S111" s="42">
        <f>IF(Q111=1,(Assumptions!$B$12-N111)*(H111/Assumptions!$B$12),0)</f>
        <v>0</v>
      </c>
      <c r="T111" s="20">
        <f>S111*G111</f>
        <v>0</v>
      </c>
      <c r="U111" s="21">
        <f>IF(OR(K111&gt;=Assumptions!$B$5,Q111=1,AND(F111="Core",P111&lt;Assumptions!$B$7)),1,0)</f>
        <v>0</v>
      </c>
      <c r="V111" s="21">
        <f>IF(AND(F111="Seasonal",K111&lt;Assumptions!$B$6,P111&gt;Assumptions!$B$8),1,0)</f>
        <v>0</v>
      </c>
      <c r="W111" s="18">
        <f>IF(U111=1,ROUND(MAX(0,Assumptions!$B$9*R111-J111),0),0)</f>
        <v>0</v>
      </c>
      <c r="X111" s="44" t="str">
        <f t="shared" si="15"/>
        <v>Maintain / monitor</v>
      </c>
    </row>
    <row r="112" spans="1:24" x14ac:dyDescent="0.35">
      <c r="A112" s="43" t="s">
        <v>169</v>
      </c>
      <c r="B112" s="22" t="s">
        <v>66</v>
      </c>
      <c r="C112" s="40" t="str">
        <f>INDEX(Dim_Product!$B:B, MATCH($A112,Dim_Product!$A:$A,0))</f>
        <v>Wide-Leg Trouser</v>
      </c>
      <c r="D112" s="40" t="str">
        <f>INDEX(Dim_Product!$D:D, MATCH($A112,Dim_Product!$A:$A,0))</f>
        <v>Trousers</v>
      </c>
      <c r="E112" s="40" t="str">
        <f>INDEX(Dim_Product!$E:E, MATCH($A112,Dim_Product!$A:$A,0))</f>
        <v>Olive</v>
      </c>
      <c r="F112" s="40" t="str">
        <f>INDEX(Dim_Product!$F:F, MATCH($A112,Dim_Product!$A:$A,0))</f>
        <v>Seasonal</v>
      </c>
      <c r="G112" s="41">
        <f>INDEX(Dim_Product!$G:G, MATCH($A112,Dim_Product!$A:$A,0))</f>
        <v>41.99</v>
      </c>
      <c r="H112" s="18">
        <f>SUMIFS(Fact_Weekly!$D$2:$D$1500,Fact_Weekly!$B$2:$B$1500,$A112,Fact_Weekly!$C$2:$C$1500,$B112)</f>
        <v>115</v>
      </c>
      <c r="I112" s="18">
        <f>SUMIFS(Fact_Weekly!$E$2:$E$1500,Fact_Weekly!$B$2:$B$1500,$A112,Fact_Weekly!$C$2:$C$1500,$B112)</f>
        <v>79</v>
      </c>
      <c r="J112" s="18">
        <f t="shared" si="11"/>
        <v>36</v>
      </c>
      <c r="K112" s="19">
        <f t="shared" si="13"/>
        <v>0.68695652173913047</v>
      </c>
      <c r="L112" s="18">
        <f>SUMIFS(Fact_Weekly!$E$2:$E$1500,Fact_Weekly!$B$2:$B$1500,$A112,Fact_Weekly!$C$2:$C$1500,$B112,Fact_Weekly!$A$2:$A$1500,"&gt;="&amp;(Assumptions!$B$12-Assumptions!$B$11+1))</f>
        <v>26</v>
      </c>
      <c r="M112" s="42">
        <f>L112/Assumptions!$B$11</f>
        <v>6.5</v>
      </c>
      <c r="N112" s="18">
        <f>COUNTIFS(Fact_Weekly!$B$2:$B$1500,$A112,Fact_Weekly!$C$2:$C$1500,$B112,Fact_Weekly!$G$2:$G$1500,"&gt;0")</f>
        <v>12</v>
      </c>
      <c r="O112" s="42">
        <f t="shared" si="14"/>
        <v>6.583333333333333</v>
      </c>
      <c r="P112" s="42">
        <f>IF(M112&gt;0,J112/M112,IF(J112&gt;0,Assumptions!$B$12,0))</f>
        <v>5.5384615384615383</v>
      </c>
      <c r="Q112" s="21">
        <f>IF(AND(N112&lt;Assumptions!$B$12,K112&gt;=0.99),1,0)</f>
        <v>0</v>
      </c>
      <c r="R112" s="42">
        <f t="shared" si="12"/>
        <v>6.5</v>
      </c>
      <c r="S112" s="42">
        <f>IF(Q112=1,(Assumptions!$B$12-N112)*(H112/Assumptions!$B$12),0)</f>
        <v>0</v>
      </c>
      <c r="T112" s="20">
        <f>S112*G112</f>
        <v>0</v>
      </c>
      <c r="U112" s="21">
        <f>IF(OR(K112&gt;=Assumptions!$B$5,Q112=1,AND(F112="Core",P112&lt;Assumptions!$B$7)),1,0)</f>
        <v>0</v>
      </c>
      <c r="V112" s="21">
        <f>IF(AND(F112="Seasonal",K112&lt;Assumptions!$B$6,P112&gt;Assumptions!$B$8),1,0)</f>
        <v>0</v>
      </c>
      <c r="W112" s="18">
        <f>IF(U112=1,ROUND(MAX(0,Assumptions!$B$9*R112-J112),0),0)</f>
        <v>0</v>
      </c>
      <c r="X112" s="44" t="str">
        <f t="shared" si="15"/>
        <v>Maintain / monitor</v>
      </c>
    </row>
    <row r="113" spans="1:24" x14ac:dyDescent="0.35">
      <c r="A113" s="43" t="s">
        <v>169</v>
      </c>
      <c r="B113" s="22" t="s">
        <v>68</v>
      </c>
      <c r="C113" s="40" t="str">
        <f>INDEX(Dim_Product!$B:B, MATCH($A113,Dim_Product!$A:$A,0))</f>
        <v>Wide-Leg Trouser</v>
      </c>
      <c r="D113" s="40" t="str">
        <f>INDEX(Dim_Product!$D:D, MATCH($A113,Dim_Product!$A:$A,0))</f>
        <v>Trousers</v>
      </c>
      <c r="E113" s="40" t="str">
        <f>INDEX(Dim_Product!$E:E, MATCH($A113,Dim_Product!$A:$A,0))</f>
        <v>Olive</v>
      </c>
      <c r="F113" s="40" t="str">
        <f>INDEX(Dim_Product!$F:F, MATCH($A113,Dim_Product!$A:$A,0))</f>
        <v>Seasonal</v>
      </c>
      <c r="G113" s="41">
        <f>INDEX(Dim_Product!$G:G, MATCH($A113,Dim_Product!$A:$A,0))</f>
        <v>41.99</v>
      </c>
      <c r="H113" s="18">
        <f>SUMIFS(Fact_Weekly!$D$2:$D$1500,Fact_Weekly!$B$2:$B$1500,$A113,Fact_Weekly!$C$2:$C$1500,$B113)</f>
        <v>139</v>
      </c>
      <c r="I113" s="18">
        <f>SUMIFS(Fact_Weekly!$E$2:$E$1500,Fact_Weekly!$B$2:$B$1500,$A113,Fact_Weekly!$C$2:$C$1500,$B113)</f>
        <v>102</v>
      </c>
      <c r="J113" s="18">
        <f t="shared" si="11"/>
        <v>37</v>
      </c>
      <c r="K113" s="19">
        <f t="shared" si="13"/>
        <v>0.73381294964028776</v>
      </c>
      <c r="L113" s="18">
        <f>SUMIFS(Fact_Weekly!$E$2:$E$1500,Fact_Weekly!$B$2:$B$1500,$A113,Fact_Weekly!$C$2:$C$1500,$B113,Fact_Weekly!$A$2:$A$1500,"&gt;="&amp;(Assumptions!$B$12-Assumptions!$B$11+1))</f>
        <v>36</v>
      </c>
      <c r="M113" s="42">
        <f>L113/Assumptions!$B$11</f>
        <v>9</v>
      </c>
      <c r="N113" s="18">
        <f>COUNTIFS(Fact_Weekly!$B$2:$B$1500,$A113,Fact_Weekly!$C$2:$C$1500,$B113,Fact_Weekly!$G$2:$G$1500,"&gt;0")</f>
        <v>12</v>
      </c>
      <c r="O113" s="42">
        <f t="shared" si="14"/>
        <v>8.5</v>
      </c>
      <c r="P113" s="42">
        <f>IF(M113&gt;0,J113/M113,IF(J113&gt;0,Assumptions!$B$12,0))</f>
        <v>4.1111111111111107</v>
      </c>
      <c r="Q113" s="21">
        <f>IF(AND(N113&lt;Assumptions!$B$12,K113&gt;=0.99),1,0)</f>
        <v>0</v>
      </c>
      <c r="R113" s="42">
        <f t="shared" si="12"/>
        <v>9</v>
      </c>
      <c r="S113" s="42">
        <f>IF(Q113=1,(Assumptions!$B$12-N113)*(H113/Assumptions!$B$12),0)</f>
        <v>0</v>
      </c>
      <c r="T113" s="20">
        <f>S113*G113</f>
        <v>0</v>
      </c>
      <c r="U113" s="21">
        <f>IF(OR(K113&gt;=Assumptions!$B$5,Q113=1,AND(F113="Core",P113&lt;Assumptions!$B$7)),1,0)</f>
        <v>0</v>
      </c>
      <c r="V113" s="21">
        <f>IF(AND(F113="Seasonal",K113&lt;Assumptions!$B$6,P113&gt;Assumptions!$B$8),1,0)</f>
        <v>0</v>
      </c>
      <c r="W113" s="18">
        <f>IF(U113=1,ROUND(MAX(0,Assumptions!$B$9*R113-J113),0),0)</f>
        <v>0</v>
      </c>
      <c r="X113" s="44" t="str">
        <f t="shared" si="15"/>
        <v>Maintain / monitor</v>
      </c>
    </row>
    <row r="114" spans="1:24" x14ac:dyDescent="0.35">
      <c r="A114" s="43" t="s">
        <v>171</v>
      </c>
      <c r="B114" s="22" t="s">
        <v>62</v>
      </c>
      <c r="C114" s="40" t="str">
        <f>INDEX(Dim_Product!$B:B, MATCH($A114,Dim_Product!$A:$A,0))</f>
        <v>Belted Trench Coat</v>
      </c>
      <c r="D114" s="40" t="str">
        <f>INDEX(Dim_Product!$D:D, MATCH($A114,Dim_Product!$A:$A,0))</f>
        <v>Outerwear</v>
      </c>
      <c r="E114" s="40" t="str">
        <f>INDEX(Dim_Product!$E:E, MATCH($A114,Dim_Product!$A:$A,0))</f>
        <v>Stone</v>
      </c>
      <c r="F114" s="40" t="str">
        <f>INDEX(Dim_Product!$F:F, MATCH($A114,Dim_Product!$A:$A,0))</f>
        <v>Seasonal</v>
      </c>
      <c r="G114" s="41">
        <f>INDEX(Dim_Product!$G:G, MATCH($A114,Dim_Product!$A:$A,0))</f>
        <v>79.989999999999995</v>
      </c>
      <c r="H114" s="18">
        <f>SUMIFS(Fact_Weekly!$D$2:$D$1500,Fact_Weekly!$B$2:$B$1500,$A114,Fact_Weekly!$C$2:$C$1500,$B114)</f>
        <v>116</v>
      </c>
      <c r="I114" s="18">
        <f>SUMIFS(Fact_Weekly!$E$2:$E$1500,Fact_Weekly!$B$2:$B$1500,$A114,Fact_Weekly!$C$2:$C$1500,$B114)</f>
        <v>86</v>
      </c>
      <c r="J114" s="18">
        <f t="shared" si="11"/>
        <v>30</v>
      </c>
      <c r="K114" s="19">
        <f t="shared" si="13"/>
        <v>0.74137931034482762</v>
      </c>
      <c r="L114" s="18">
        <f>SUMIFS(Fact_Weekly!$E$2:$E$1500,Fact_Weekly!$B$2:$B$1500,$A114,Fact_Weekly!$C$2:$C$1500,$B114,Fact_Weekly!$A$2:$A$1500,"&gt;="&amp;(Assumptions!$B$12-Assumptions!$B$11+1))</f>
        <v>27</v>
      </c>
      <c r="M114" s="42">
        <f>L114/Assumptions!$B$11</f>
        <v>6.75</v>
      </c>
      <c r="N114" s="18">
        <f>COUNTIFS(Fact_Weekly!$B$2:$B$1500,$A114,Fact_Weekly!$C$2:$C$1500,$B114,Fact_Weekly!$G$2:$G$1500,"&gt;0")</f>
        <v>12</v>
      </c>
      <c r="O114" s="42">
        <f t="shared" si="14"/>
        <v>7.166666666666667</v>
      </c>
      <c r="P114" s="42">
        <f>IF(M114&gt;0,J114/M114,IF(J114&gt;0,Assumptions!$B$12,0))</f>
        <v>4.4444444444444446</v>
      </c>
      <c r="Q114" s="21">
        <f>IF(AND(N114&lt;Assumptions!$B$12,K114&gt;=0.99),1,0)</f>
        <v>0</v>
      </c>
      <c r="R114" s="42">
        <f t="shared" si="12"/>
        <v>6.75</v>
      </c>
      <c r="S114" s="42">
        <f>IF(Q114=1,(Assumptions!$B$12-N114)*(H114/Assumptions!$B$12),0)</f>
        <v>0</v>
      </c>
      <c r="T114" s="20">
        <f>S114*G114</f>
        <v>0</v>
      </c>
      <c r="U114" s="21">
        <f>IF(OR(K114&gt;=Assumptions!$B$5,Q114=1,AND(F114="Core",P114&lt;Assumptions!$B$7)),1,0)</f>
        <v>0</v>
      </c>
      <c r="V114" s="21">
        <f>IF(AND(F114="Seasonal",K114&lt;Assumptions!$B$6,P114&gt;Assumptions!$B$8),1,0)</f>
        <v>0</v>
      </c>
      <c r="W114" s="18">
        <f>IF(U114=1,ROUND(MAX(0,Assumptions!$B$9*R114-J114),0),0)</f>
        <v>0</v>
      </c>
      <c r="X114" s="44" t="str">
        <f>IF(V114=1,"Markdown / clear",IF(AND(U114=1,Q114=1),"Reorder - recover lost sales",IF(U114=1,"Reorder / replenish","Maintain / monitor")))</f>
        <v>Maintain / monitor</v>
      </c>
    </row>
    <row r="115" spans="1:24" x14ac:dyDescent="0.35">
      <c r="A115" s="43" t="s">
        <v>171</v>
      </c>
      <c r="B115" s="22" t="s">
        <v>64</v>
      </c>
      <c r="C115" s="40" t="str">
        <f>INDEX(Dim_Product!$B:B, MATCH($A115,Dim_Product!$A:$A,0))</f>
        <v>Belted Trench Coat</v>
      </c>
      <c r="D115" s="40" t="str">
        <f>INDEX(Dim_Product!$D:D, MATCH($A115,Dim_Product!$A:$A,0))</f>
        <v>Outerwear</v>
      </c>
      <c r="E115" s="40" t="str">
        <f>INDEX(Dim_Product!$E:E, MATCH($A115,Dim_Product!$A:$A,0))</f>
        <v>Stone</v>
      </c>
      <c r="F115" s="40" t="str">
        <f>INDEX(Dim_Product!$F:F, MATCH($A115,Dim_Product!$A:$A,0))</f>
        <v>Seasonal</v>
      </c>
      <c r="G115" s="41">
        <f>INDEX(Dim_Product!$G:G, MATCH($A115,Dim_Product!$A:$A,0))</f>
        <v>79.989999999999995</v>
      </c>
      <c r="H115" s="18">
        <f>SUMIFS(Fact_Weekly!$D$2:$D$1500,Fact_Weekly!$B$2:$B$1500,$A115,Fact_Weekly!$C$2:$C$1500,$B115)</f>
        <v>156</v>
      </c>
      <c r="I115" s="18">
        <f>SUMIFS(Fact_Weekly!$E$2:$E$1500,Fact_Weekly!$B$2:$B$1500,$A115,Fact_Weekly!$C$2:$C$1500,$B115)</f>
        <v>122</v>
      </c>
      <c r="J115" s="18">
        <f t="shared" si="11"/>
        <v>34</v>
      </c>
      <c r="K115" s="19">
        <f t="shared" si="13"/>
        <v>0.78205128205128205</v>
      </c>
      <c r="L115" s="18">
        <f>SUMIFS(Fact_Weekly!$E$2:$E$1500,Fact_Weekly!$B$2:$B$1500,$A115,Fact_Weekly!$C$2:$C$1500,$B115,Fact_Weekly!$A$2:$A$1500,"&gt;="&amp;(Assumptions!$B$12-Assumptions!$B$11+1))</f>
        <v>40</v>
      </c>
      <c r="M115" s="42">
        <f>L115/Assumptions!$B$11</f>
        <v>10</v>
      </c>
      <c r="N115" s="18">
        <f>COUNTIFS(Fact_Weekly!$B$2:$B$1500,$A115,Fact_Weekly!$C$2:$C$1500,$B115,Fact_Weekly!$G$2:$G$1500,"&gt;0")</f>
        <v>12</v>
      </c>
      <c r="O115" s="42">
        <f t="shared" si="14"/>
        <v>10.166666666666666</v>
      </c>
      <c r="P115" s="42">
        <f>IF(M115&gt;0,J115/M115,IF(J115&gt;0,Assumptions!$B$12,0))</f>
        <v>3.4</v>
      </c>
      <c r="Q115" s="21">
        <f>IF(AND(N115&lt;Assumptions!$B$12,K115&gt;=0.99),1,0)</f>
        <v>0</v>
      </c>
      <c r="R115" s="42">
        <f t="shared" si="12"/>
        <v>10</v>
      </c>
      <c r="S115" s="42">
        <f>IF(Q115=1,(Assumptions!$B$12-N115)*(H115/Assumptions!$B$12),0)</f>
        <v>0</v>
      </c>
      <c r="T115" s="20">
        <f>S115*G115</f>
        <v>0</v>
      </c>
      <c r="U115" s="21">
        <f>IF(OR(K115&gt;=Assumptions!$B$5,Q115=1,AND(F115="Core",P115&lt;Assumptions!$B$7)),1,0)</f>
        <v>0</v>
      </c>
      <c r="V115" s="21">
        <f>IF(AND(F115="Seasonal",K115&lt;Assumptions!$B$6,P115&gt;Assumptions!$B$8),1,0)</f>
        <v>0</v>
      </c>
      <c r="W115" s="18">
        <f>IF(U115=1,ROUND(MAX(0,Assumptions!$B$9*R115-J115),0),0)</f>
        <v>0</v>
      </c>
      <c r="X115" s="44" t="str">
        <f t="shared" si="15"/>
        <v>Maintain / monitor</v>
      </c>
    </row>
    <row r="116" spans="1:24" x14ac:dyDescent="0.35">
      <c r="A116" s="43" t="s">
        <v>171</v>
      </c>
      <c r="B116" s="22" t="s">
        <v>66</v>
      </c>
      <c r="C116" s="40" t="str">
        <f>INDEX(Dim_Product!$B:B, MATCH($A116,Dim_Product!$A:$A,0))</f>
        <v>Belted Trench Coat</v>
      </c>
      <c r="D116" s="40" t="str">
        <f>INDEX(Dim_Product!$D:D, MATCH($A116,Dim_Product!$A:$A,0))</f>
        <v>Outerwear</v>
      </c>
      <c r="E116" s="40" t="str">
        <f>INDEX(Dim_Product!$E:E, MATCH($A116,Dim_Product!$A:$A,0))</f>
        <v>Stone</v>
      </c>
      <c r="F116" s="40" t="str">
        <f>INDEX(Dim_Product!$F:F, MATCH($A116,Dim_Product!$A:$A,0))</f>
        <v>Seasonal</v>
      </c>
      <c r="G116" s="41">
        <f>INDEX(Dim_Product!$G:G, MATCH($A116,Dim_Product!$A:$A,0))</f>
        <v>79.989999999999995</v>
      </c>
      <c r="H116" s="18">
        <f>SUMIFS(Fact_Weekly!$D$2:$D$1500,Fact_Weekly!$B$2:$B$1500,$A116,Fact_Weekly!$C$2:$C$1500,$B116)</f>
        <v>102</v>
      </c>
      <c r="I116" s="18">
        <f>SUMIFS(Fact_Weekly!$E$2:$E$1500,Fact_Weekly!$B$2:$B$1500,$A116,Fact_Weekly!$C$2:$C$1500,$B116)</f>
        <v>69</v>
      </c>
      <c r="J116" s="18">
        <f t="shared" si="11"/>
        <v>33</v>
      </c>
      <c r="K116" s="19">
        <f t="shared" si="13"/>
        <v>0.67647058823529416</v>
      </c>
      <c r="L116" s="18">
        <f>SUMIFS(Fact_Weekly!$E$2:$E$1500,Fact_Weekly!$B$2:$B$1500,$A116,Fact_Weekly!$C$2:$C$1500,$B116,Fact_Weekly!$A$2:$A$1500,"&gt;="&amp;(Assumptions!$B$12-Assumptions!$B$11+1))</f>
        <v>23</v>
      </c>
      <c r="M116" s="42">
        <f>L116/Assumptions!$B$11</f>
        <v>5.75</v>
      </c>
      <c r="N116" s="18">
        <f>COUNTIFS(Fact_Weekly!$B$2:$B$1500,$A116,Fact_Weekly!$C$2:$C$1500,$B116,Fact_Weekly!$G$2:$G$1500,"&gt;0")</f>
        <v>12</v>
      </c>
      <c r="O116" s="42">
        <f t="shared" si="14"/>
        <v>5.75</v>
      </c>
      <c r="P116" s="42">
        <f>IF(M116&gt;0,J116/M116,IF(J116&gt;0,Assumptions!$B$12,0))</f>
        <v>5.7391304347826084</v>
      </c>
      <c r="Q116" s="21">
        <f>IF(AND(N116&lt;Assumptions!$B$12,K116&gt;=0.99),1,0)</f>
        <v>0</v>
      </c>
      <c r="R116" s="42">
        <f t="shared" si="12"/>
        <v>5.75</v>
      </c>
      <c r="S116" s="42">
        <f>IF(Q116=1,(Assumptions!$B$12-N116)*(H116/Assumptions!$B$12),0)</f>
        <v>0</v>
      </c>
      <c r="T116" s="20">
        <f>S116*G116</f>
        <v>0</v>
      </c>
      <c r="U116" s="21">
        <f>IF(OR(K116&gt;=Assumptions!$B$5,Q116=1,AND(F116="Core",P116&lt;Assumptions!$B$7)),1,0)</f>
        <v>0</v>
      </c>
      <c r="V116" s="21">
        <f>IF(AND(F116="Seasonal",K116&lt;Assumptions!$B$6,P116&gt;Assumptions!$B$8),1,0)</f>
        <v>0</v>
      </c>
      <c r="W116" s="18">
        <f>IF(U116=1,ROUND(MAX(0,Assumptions!$B$9*R116-J116),0),0)</f>
        <v>0</v>
      </c>
      <c r="X116" s="44" t="str">
        <f t="shared" si="15"/>
        <v>Maintain / monitor</v>
      </c>
    </row>
    <row r="117" spans="1:24" x14ac:dyDescent="0.35">
      <c r="A117" s="43" t="s">
        <v>171</v>
      </c>
      <c r="B117" s="22" t="s">
        <v>68</v>
      </c>
      <c r="C117" s="40" t="str">
        <f>INDEX(Dim_Product!$B:B, MATCH($A117,Dim_Product!$A:$A,0))</f>
        <v>Belted Trench Coat</v>
      </c>
      <c r="D117" s="40" t="str">
        <f>INDEX(Dim_Product!$D:D, MATCH($A117,Dim_Product!$A:$A,0))</f>
        <v>Outerwear</v>
      </c>
      <c r="E117" s="40" t="str">
        <f>INDEX(Dim_Product!$E:E, MATCH($A117,Dim_Product!$A:$A,0))</f>
        <v>Stone</v>
      </c>
      <c r="F117" s="40" t="str">
        <f>INDEX(Dim_Product!$F:F, MATCH($A117,Dim_Product!$A:$A,0))</f>
        <v>Seasonal</v>
      </c>
      <c r="G117" s="41">
        <f>INDEX(Dim_Product!$G:G, MATCH($A117,Dim_Product!$A:$A,0))</f>
        <v>79.989999999999995</v>
      </c>
      <c r="H117" s="18">
        <f>SUMIFS(Fact_Weekly!$D$2:$D$1500,Fact_Weekly!$B$2:$B$1500,$A117,Fact_Weekly!$C$2:$C$1500,$B117)</f>
        <v>146</v>
      </c>
      <c r="I117" s="18">
        <f>SUMIFS(Fact_Weekly!$E$2:$E$1500,Fact_Weekly!$B$2:$B$1500,$A117,Fact_Weekly!$C$2:$C$1500,$B117)</f>
        <v>106</v>
      </c>
      <c r="J117" s="18">
        <f t="shared" si="11"/>
        <v>40</v>
      </c>
      <c r="K117" s="19">
        <f t="shared" si="13"/>
        <v>0.72602739726027399</v>
      </c>
      <c r="L117" s="18">
        <f>SUMIFS(Fact_Weekly!$E$2:$E$1500,Fact_Weekly!$B$2:$B$1500,$A117,Fact_Weekly!$C$2:$C$1500,$B117,Fact_Weekly!$A$2:$A$1500,"&gt;="&amp;(Assumptions!$B$12-Assumptions!$B$11+1))</f>
        <v>37</v>
      </c>
      <c r="M117" s="42">
        <f>L117/Assumptions!$B$11</f>
        <v>9.25</v>
      </c>
      <c r="N117" s="18">
        <f>COUNTIFS(Fact_Weekly!$B$2:$B$1500,$A117,Fact_Weekly!$C$2:$C$1500,$B117,Fact_Weekly!$G$2:$G$1500,"&gt;0")</f>
        <v>12</v>
      </c>
      <c r="O117" s="42">
        <f t="shared" si="14"/>
        <v>8.8333333333333339</v>
      </c>
      <c r="P117" s="42">
        <f>IF(M117&gt;0,J117/M117,IF(J117&gt;0,Assumptions!$B$12,0))</f>
        <v>4.3243243243243246</v>
      </c>
      <c r="Q117" s="21">
        <f>IF(AND(N117&lt;Assumptions!$B$12,K117&gt;=0.99),1,0)</f>
        <v>0</v>
      </c>
      <c r="R117" s="42">
        <f t="shared" si="12"/>
        <v>9.25</v>
      </c>
      <c r="S117" s="42">
        <f>IF(Q117=1,(Assumptions!$B$12-N117)*(H117/Assumptions!$B$12),0)</f>
        <v>0</v>
      </c>
      <c r="T117" s="20">
        <f>S117*G117</f>
        <v>0</v>
      </c>
      <c r="U117" s="21">
        <f>IF(OR(K117&gt;=Assumptions!$B$5,Q117=1,AND(F117="Core",P117&lt;Assumptions!$B$7)),1,0)</f>
        <v>0</v>
      </c>
      <c r="V117" s="21">
        <f>IF(AND(F117="Seasonal",K117&lt;Assumptions!$B$6,P117&gt;Assumptions!$B$8),1,0)</f>
        <v>0</v>
      </c>
      <c r="W117" s="18">
        <f>IF(U117=1,ROUND(MAX(0,Assumptions!$B$9*R117-J117),0),0)</f>
        <v>0</v>
      </c>
      <c r="X117" s="44" t="str">
        <f t="shared" si="15"/>
        <v>Maintain / monitor</v>
      </c>
    </row>
    <row r="118" spans="1:24" x14ac:dyDescent="0.35">
      <c r="A118" s="43" t="s">
        <v>175</v>
      </c>
      <c r="B118" s="22" t="s">
        <v>62</v>
      </c>
      <c r="C118" s="40" t="str">
        <f>INDEX(Dim_Product!$B:B, MATCH($A118,Dim_Product!$A:$A,0))</f>
        <v>Belted Trench Coat</v>
      </c>
      <c r="D118" s="40" t="str">
        <f>INDEX(Dim_Product!$D:D, MATCH($A118,Dim_Product!$A:$A,0))</f>
        <v>Outerwear</v>
      </c>
      <c r="E118" s="40" t="str">
        <f>INDEX(Dim_Product!$E:E, MATCH($A118,Dim_Product!$A:$A,0))</f>
        <v>Khaki</v>
      </c>
      <c r="F118" s="40" t="str">
        <f>INDEX(Dim_Product!$F:F, MATCH($A118,Dim_Product!$A:$A,0))</f>
        <v>Seasonal</v>
      </c>
      <c r="G118" s="41">
        <f>INDEX(Dim_Product!$G:G, MATCH($A118,Dim_Product!$A:$A,0))</f>
        <v>79.989999999999995</v>
      </c>
      <c r="H118" s="18">
        <f>SUMIFS(Fact_Weekly!$D$2:$D$1500,Fact_Weekly!$B$2:$B$1500,$A118,Fact_Weekly!$C$2:$C$1500,$B118)</f>
        <v>113</v>
      </c>
      <c r="I118" s="18">
        <f>SUMIFS(Fact_Weekly!$E$2:$E$1500,Fact_Weekly!$B$2:$B$1500,$A118,Fact_Weekly!$C$2:$C$1500,$B118)</f>
        <v>88</v>
      </c>
      <c r="J118" s="18">
        <f t="shared" si="11"/>
        <v>25</v>
      </c>
      <c r="K118" s="19">
        <f t="shared" si="13"/>
        <v>0.77876106194690264</v>
      </c>
      <c r="L118" s="18">
        <f>SUMIFS(Fact_Weekly!$E$2:$E$1500,Fact_Weekly!$B$2:$B$1500,$A118,Fact_Weekly!$C$2:$C$1500,$B118,Fact_Weekly!$A$2:$A$1500,"&gt;="&amp;(Assumptions!$B$12-Assumptions!$B$11+1))</f>
        <v>30</v>
      </c>
      <c r="M118" s="42">
        <f>L118/Assumptions!$B$11</f>
        <v>7.5</v>
      </c>
      <c r="N118" s="18">
        <f>COUNTIFS(Fact_Weekly!$B$2:$B$1500,$A118,Fact_Weekly!$C$2:$C$1500,$B118,Fact_Weekly!$G$2:$G$1500,"&gt;0")</f>
        <v>12</v>
      </c>
      <c r="O118" s="42">
        <f t="shared" si="14"/>
        <v>7.333333333333333</v>
      </c>
      <c r="P118" s="42">
        <f>IF(M118&gt;0,J118/M118,IF(J118&gt;0,Assumptions!$B$12,0))</f>
        <v>3.3333333333333335</v>
      </c>
      <c r="Q118" s="21">
        <f>IF(AND(N118&lt;Assumptions!$B$12,K118&gt;=0.99),1,0)</f>
        <v>0</v>
      </c>
      <c r="R118" s="42">
        <f t="shared" si="12"/>
        <v>7.5</v>
      </c>
      <c r="S118" s="42">
        <f>IF(Q118=1,(Assumptions!$B$12-N118)*(H118/Assumptions!$B$12),0)</f>
        <v>0</v>
      </c>
      <c r="T118" s="20">
        <f>S118*G118</f>
        <v>0</v>
      </c>
      <c r="U118" s="21">
        <f>IF(OR(K118&gt;=Assumptions!$B$5,Q118=1,AND(F118="Core",P118&lt;Assumptions!$B$7)),1,0)</f>
        <v>0</v>
      </c>
      <c r="V118" s="21">
        <f>IF(AND(F118="Seasonal",K118&lt;Assumptions!$B$6,P118&gt;Assumptions!$B$8),1,0)</f>
        <v>0</v>
      </c>
      <c r="W118" s="18">
        <f>IF(U118=1,ROUND(MAX(0,Assumptions!$B$9*R118-J118),0),0)</f>
        <v>0</v>
      </c>
      <c r="X118" s="44" t="str">
        <f t="shared" si="15"/>
        <v>Maintain / monitor</v>
      </c>
    </row>
    <row r="119" spans="1:24" x14ac:dyDescent="0.35">
      <c r="A119" s="43" t="s">
        <v>175</v>
      </c>
      <c r="B119" s="22" t="s">
        <v>64</v>
      </c>
      <c r="C119" s="40" t="str">
        <f>INDEX(Dim_Product!$B:B, MATCH($A119,Dim_Product!$A:$A,0))</f>
        <v>Belted Trench Coat</v>
      </c>
      <c r="D119" s="40" t="str">
        <f>INDEX(Dim_Product!$D:D, MATCH($A119,Dim_Product!$A:$A,0))</f>
        <v>Outerwear</v>
      </c>
      <c r="E119" s="40" t="str">
        <f>INDEX(Dim_Product!$E:E, MATCH($A119,Dim_Product!$A:$A,0))</f>
        <v>Khaki</v>
      </c>
      <c r="F119" s="40" t="str">
        <f>INDEX(Dim_Product!$F:F, MATCH($A119,Dim_Product!$A:$A,0))</f>
        <v>Seasonal</v>
      </c>
      <c r="G119" s="41">
        <f>INDEX(Dim_Product!$G:G, MATCH($A119,Dim_Product!$A:$A,0))</f>
        <v>79.989999999999995</v>
      </c>
      <c r="H119" s="18">
        <f>SUMIFS(Fact_Weekly!$D$2:$D$1500,Fact_Weekly!$B$2:$B$1500,$A119,Fact_Weekly!$C$2:$C$1500,$B119)</f>
        <v>149</v>
      </c>
      <c r="I119" s="18">
        <f>SUMIFS(Fact_Weekly!$E$2:$E$1500,Fact_Weekly!$B$2:$B$1500,$A119,Fact_Weekly!$C$2:$C$1500,$B119)</f>
        <v>111</v>
      </c>
      <c r="J119" s="18">
        <f t="shared" si="11"/>
        <v>38</v>
      </c>
      <c r="K119" s="19">
        <f t="shared" si="13"/>
        <v>0.74496644295302017</v>
      </c>
      <c r="L119" s="18">
        <f>SUMIFS(Fact_Weekly!$E$2:$E$1500,Fact_Weekly!$B$2:$B$1500,$A119,Fact_Weekly!$C$2:$C$1500,$B119,Fact_Weekly!$A$2:$A$1500,"&gt;="&amp;(Assumptions!$B$12-Assumptions!$B$11+1))</f>
        <v>35</v>
      </c>
      <c r="M119" s="42">
        <f>L119/Assumptions!$B$11</f>
        <v>8.75</v>
      </c>
      <c r="N119" s="18">
        <f>COUNTIFS(Fact_Weekly!$B$2:$B$1500,$A119,Fact_Weekly!$C$2:$C$1500,$B119,Fact_Weekly!$G$2:$G$1500,"&gt;0")</f>
        <v>12</v>
      </c>
      <c r="O119" s="42">
        <f t="shared" si="14"/>
        <v>9.25</v>
      </c>
      <c r="P119" s="42">
        <f>IF(M119&gt;0,J119/M119,IF(J119&gt;0,Assumptions!$B$12,0))</f>
        <v>4.3428571428571425</v>
      </c>
      <c r="Q119" s="21">
        <f>IF(AND(N119&lt;Assumptions!$B$12,K119&gt;=0.99),1,0)</f>
        <v>0</v>
      </c>
      <c r="R119" s="42">
        <f t="shared" si="12"/>
        <v>8.75</v>
      </c>
      <c r="S119" s="42">
        <f>IF(Q119=1,(Assumptions!$B$12-N119)*(H119/Assumptions!$B$12),0)</f>
        <v>0</v>
      </c>
      <c r="T119" s="20">
        <f>S119*G119</f>
        <v>0</v>
      </c>
      <c r="U119" s="21">
        <f>IF(OR(K119&gt;=Assumptions!$B$5,Q119=1,AND(F119="Core",P119&lt;Assumptions!$B$7)),1,0)</f>
        <v>0</v>
      </c>
      <c r="V119" s="21">
        <f>IF(AND(F119="Seasonal",K119&lt;Assumptions!$B$6,P119&gt;Assumptions!$B$8),1,0)</f>
        <v>0</v>
      </c>
      <c r="W119" s="18">
        <f>IF(U119=1,ROUND(MAX(0,Assumptions!$B$9*R119-J119),0),0)</f>
        <v>0</v>
      </c>
      <c r="X119" s="44" t="str">
        <f t="shared" si="15"/>
        <v>Maintain / monitor</v>
      </c>
    </row>
    <row r="120" spans="1:24" x14ac:dyDescent="0.35">
      <c r="A120" s="43" t="s">
        <v>175</v>
      </c>
      <c r="B120" s="22" t="s">
        <v>66</v>
      </c>
      <c r="C120" s="40" t="str">
        <f>INDEX(Dim_Product!$B:B, MATCH($A120,Dim_Product!$A:$A,0))</f>
        <v>Belted Trench Coat</v>
      </c>
      <c r="D120" s="40" t="str">
        <f>INDEX(Dim_Product!$D:D, MATCH($A120,Dim_Product!$A:$A,0))</f>
        <v>Outerwear</v>
      </c>
      <c r="E120" s="40" t="str">
        <f>INDEX(Dim_Product!$E:E, MATCH($A120,Dim_Product!$A:$A,0))</f>
        <v>Khaki</v>
      </c>
      <c r="F120" s="40" t="str">
        <f>INDEX(Dim_Product!$F:F, MATCH($A120,Dim_Product!$A:$A,0))</f>
        <v>Seasonal</v>
      </c>
      <c r="G120" s="41">
        <f>INDEX(Dim_Product!$G:G, MATCH($A120,Dim_Product!$A:$A,0))</f>
        <v>79.989999999999995</v>
      </c>
      <c r="H120" s="18">
        <f>SUMIFS(Fact_Weekly!$D$2:$D$1500,Fact_Weekly!$B$2:$B$1500,$A120,Fact_Weekly!$C$2:$C$1500,$B120)</f>
        <v>99</v>
      </c>
      <c r="I120" s="18">
        <f>SUMIFS(Fact_Weekly!$E$2:$E$1500,Fact_Weekly!$B$2:$B$1500,$A120,Fact_Weekly!$C$2:$C$1500,$B120)</f>
        <v>73</v>
      </c>
      <c r="J120" s="18">
        <f t="shared" si="11"/>
        <v>26</v>
      </c>
      <c r="K120" s="19">
        <f t="shared" si="13"/>
        <v>0.73737373737373735</v>
      </c>
      <c r="L120" s="18">
        <f>SUMIFS(Fact_Weekly!$E$2:$E$1500,Fact_Weekly!$B$2:$B$1500,$A120,Fact_Weekly!$C$2:$C$1500,$B120,Fact_Weekly!$A$2:$A$1500,"&gt;="&amp;(Assumptions!$B$12-Assumptions!$B$11+1))</f>
        <v>27</v>
      </c>
      <c r="M120" s="42">
        <f>L120/Assumptions!$B$11</f>
        <v>6.75</v>
      </c>
      <c r="N120" s="18">
        <f>COUNTIFS(Fact_Weekly!$B$2:$B$1500,$A120,Fact_Weekly!$C$2:$C$1500,$B120,Fact_Weekly!$G$2:$G$1500,"&gt;0")</f>
        <v>12</v>
      </c>
      <c r="O120" s="42">
        <f t="shared" si="14"/>
        <v>6.083333333333333</v>
      </c>
      <c r="P120" s="42">
        <f>IF(M120&gt;0,J120/M120,IF(J120&gt;0,Assumptions!$B$12,0))</f>
        <v>3.8518518518518516</v>
      </c>
      <c r="Q120" s="21">
        <f>IF(AND(N120&lt;Assumptions!$B$12,K120&gt;=0.99),1,0)</f>
        <v>0</v>
      </c>
      <c r="R120" s="42">
        <f t="shared" si="12"/>
        <v>6.75</v>
      </c>
      <c r="S120" s="42">
        <f>IF(Q120=1,(Assumptions!$B$12-N120)*(H120/Assumptions!$B$12),0)</f>
        <v>0</v>
      </c>
      <c r="T120" s="20">
        <f>S120*G120</f>
        <v>0</v>
      </c>
      <c r="U120" s="21">
        <f>IF(OR(K120&gt;=Assumptions!$B$5,Q120=1,AND(F120="Core",P120&lt;Assumptions!$B$7)),1,0)</f>
        <v>0</v>
      </c>
      <c r="V120" s="21">
        <f>IF(AND(F120="Seasonal",K120&lt;Assumptions!$B$6,P120&gt;Assumptions!$B$8),1,0)</f>
        <v>0</v>
      </c>
      <c r="W120" s="18">
        <f>IF(U120=1,ROUND(MAX(0,Assumptions!$B$9*R120-J120),0),0)</f>
        <v>0</v>
      </c>
      <c r="X120" s="44" t="str">
        <f t="shared" si="15"/>
        <v>Maintain / monitor</v>
      </c>
    </row>
    <row r="121" spans="1:24" x14ac:dyDescent="0.35">
      <c r="A121" s="48" t="s">
        <v>175</v>
      </c>
      <c r="B121" s="49" t="s">
        <v>68</v>
      </c>
      <c r="C121" s="50" t="str">
        <f>INDEX(Dim_Product!$B:B, MATCH($A121,Dim_Product!$A:$A,0))</f>
        <v>Belted Trench Coat</v>
      </c>
      <c r="D121" s="50" t="str">
        <f>INDEX(Dim_Product!$D:D, MATCH($A121,Dim_Product!$A:$A,0))</f>
        <v>Outerwear</v>
      </c>
      <c r="E121" s="50" t="str">
        <f>INDEX(Dim_Product!$E:E, MATCH($A121,Dim_Product!$A:$A,0))</f>
        <v>Khaki</v>
      </c>
      <c r="F121" s="50" t="str">
        <f>INDEX(Dim_Product!$F:F, MATCH($A121,Dim_Product!$A:$A,0))</f>
        <v>Seasonal</v>
      </c>
      <c r="G121" s="51">
        <f>INDEX(Dim_Product!$G:G, MATCH($A121,Dim_Product!$A:$A,0))</f>
        <v>79.989999999999995</v>
      </c>
      <c r="H121" s="52">
        <f>SUMIFS(Fact_Weekly!$D$2:$D$1500,Fact_Weekly!$B$2:$B$1500,$A121,Fact_Weekly!$C$2:$C$1500,$B121)</f>
        <v>136</v>
      </c>
      <c r="I121" s="52">
        <f>SUMIFS(Fact_Weekly!$E$2:$E$1500,Fact_Weekly!$B$2:$B$1500,$A121,Fact_Weekly!$C$2:$C$1500,$B121)</f>
        <v>99</v>
      </c>
      <c r="J121" s="52">
        <f t="shared" si="11"/>
        <v>37</v>
      </c>
      <c r="K121" s="53">
        <f t="shared" si="13"/>
        <v>0.7279411764705882</v>
      </c>
      <c r="L121" s="52">
        <f>SUMIFS(Fact_Weekly!$E$2:$E$1500,Fact_Weekly!$B$2:$B$1500,$A121,Fact_Weekly!$C$2:$C$1500,$B121,Fact_Weekly!$A$2:$A$1500,"&gt;="&amp;(Assumptions!$B$12-Assumptions!$B$11+1))</f>
        <v>33</v>
      </c>
      <c r="M121" s="54">
        <f>L121/Assumptions!$B$11</f>
        <v>8.25</v>
      </c>
      <c r="N121" s="52">
        <f>COUNTIFS(Fact_Weekly!$B$2:$B$1500,$A121,Fact_Weekly!$C$2:$C$1500,$B121,Fact_Weekly!$G$2:$G$1500,"&gt;0")</f>
        <v>12</v>
      </c>
      <c r="O121" s="54">
        <f t="shared" si="14"/>
        <v>8.25</v>
      </c>
      <c r="P121" s="54">
        <f>IF(M121&gt;0,J121/M121,IF(J121&gt;0,Assumptions!$B$12,0))</f>
        <v>4.4848484848484844</v>
      </c>
      <c r="Q121" s="55">
        <f>IF(AND(N121&lt;Assumptions!$B$12,K121&gt;=0.99),1,0)</f>
        <v>0</v>
      </c>
      <c r="R121" s="54">
        <f t="shared" si="12"/>
        <v>8.25</v>
      </c>
      <c r="S121" s="54">
        <f>IF(Q121=1,(Assumptions!$B$12-N121)*(H121/Assumptions!$B$12),0)</f>
        <v>0</v>
      </c>
      <c r="T121" s="56">
        <f>S121*G121</f>
        <v>0</v>
      </c>
      <c r="U121" s="55">
        <f>IF(OR(K121&gt;=Assumptions!$B$5,Q121=1,AND(F121="Core",P121&lt;Assumptions!$B$7)),1,0)</f>
        <v>0</v>
      </c>
      <c r="V121" s="55">
        <f>IF(AND(F121="Seasonal",K121&lt;Assumptions!$B$6,P121&gt;Assumptions!$B$8),1,0)</f>
        <v>0</v>
      </c>
      <c r="W121" s="52">
        <f>IF(U121=1,ROUND(MAX(0,Assumptions!$B$9*R121-J121),0),0)</f>
        <v>0</v>
      </c>
      <c r="X121" s="57" t="str">
        <f t="shared" si="15"/>
        <v>Maintain / monitor</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Dashboard</vt:lpstr>
      <vt:lpstr>Actions</vt:lpstr>
      <vt:lpstr>Assumptions</vt:lpstr>
      <vt:lpstr>Dim_Product</vt:lpstr>
      <vt:lpstr>Fact_Weekly</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Marika Lisoni</cp:lastModifiedBy>
  <cp:revision>1</cp:revision>
  <dcterms:created xsi:type="dcterms:W3CDTF">2026-07-11T12:09:49Z</dcterms:created>
  <dcterms:modified xsi:type="dcterms:W3CDTF">2026-07-11T14:56:54Z</dcterms:modified>
  <dc:language>en-US</dc:language>
</cp:coreProperties>
</file>